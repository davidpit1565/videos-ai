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Inputs" sheetId="1" state="visible" r:id="rId1"/>
    <sheet name="2_Cost per Call" sheetId="2" state="visible" r:id="rId2"/>
    <sheet name="3_Tier Margins" sheetId="3" state="visible" r:id="rId3"/>
    <sheet name="4_Credit Pricing" sheetId="4" state="visible" r:id="rId4"/>
    <sheet name="5_Projection 36M" sheetId="5" state="visible" r:id="rId5"/>
    <sheet name="6_Scenarios" sheetId="6" state="visible" r:id="rId6"/>
    <sheet name="7_Executive Summary" sheetId="7" state="visible" r:id="rId7"/>
    <sheet name="8_Sources" sheetId="8" state="visible" r:id="rId8"/>
  </sheets>
  <definedNames/>
  <calcPr calcId="124519" fullCalcOnLoad="1"/>
</workbook>
</file>

<file path=xl/styles.xml><?xml version="1.0" encoding="utf-8"?>
<styleSheet xmlns="http://schemas.openxmlformats.org/spreadsheetml/2006/main">
  <numFmts count="9">
    <numFmt numFmtId="164" formatCode="#,##0;(#,##0);-"/>
    <numFmt numFmtId="165" formatCode="€#,##0.0000;(€#,##0.0000);-"/>
    <numFmt numFmtId="166" formatCode="€#,##0.00;(€#,##0.00);-"/>
    <numFmt numFmtId="167" formatCode="0.0%;(0.0%);-"/>
    <numFmt numFmtId="168" formatCode="$#,##0.00"/>
    <numFmt numFmtId="169" formatCode="0.00&quot;×&quot;"/>
    <numFmt numFmtId="170" formatCode="0.00&quot;× too cheap&quot;"/>
    <numFmt numFmtId="171" formatCode="#,##0.0;(#,##0.0);-"/>
    <numFmt numFmtId="172" formatCode="€#,##0;(€#,##0);-"/>
  </numFmts>
  <fonts count="20">
    <font>
      <name val="Calibri"/>
      <family val="2"/>
      <color theme="1"/>
      <sz val="11"/>
      <scheme val="minor"/>
    </font>
    <font>
      <name val="Arial"/>
      <b val="1"/>
      <color rgb="001F3864"/>
      <sz val="14"/>
    </font>
    <font>
      <name val="Arial"/>
      <color rgb="00595959"/>
      <sz val="9"/>
    </font>
    <font>
      <name val="Arial"/>
      <b val="1"/>
      <color rgb="00FFFFFF"/>
      <sz val="10"/>
    </font>
    <font>
      <name val="Arial"/>
      <b val="1"/>
      <color rgb="00000000"/>
      <sz val="9"/>
    </font>
    <font>
      <name val="Arial"/>
      <color rgb="00000000"/>
      <sz val="10"/>
    </font>
    <font>
      <name val="Arial"/>
      <b val="1"/>
      <color rgb="000000FF"/>
      <sz val="10"/>
    </font>
    <font>
      <name val="Arial"/>
      <b val="1"/>
      <color rgb="00006100"/>
      <sz val="9"/>
    </font>
    <font>
      <name val="Arial"/>
      <color rgb="00404040"/>
      <sz val="8"/>
    </font>
    <font>
      <name val="Arial"/>
      <b val="1"/>
      <color rgb="007F6000"/>
      <sz val="9"/>
    </font>
    <font>
      <name val="Arial"/>
      <b val="1"/>
      <color rgb="00C00000"/>
      <sz val="9"/>
    </font>
    <font>
      <name val="Arial"/>
      <b val="1"/>
      <color rgb="00000000"/>
      <sz val="10"/>
    </font>
    <font>
      <name val="Arial"/>
      <b val="1"/>
      <color rgb="00404040"/>
      <sz val="9"/>
    </font>
    <font>
      <name val="Arial"/>
      <color rgb="000000FF"/>
      <sz val="10"/>
    </font>
    <font>
      <name val="Arial"/>
      <color rgb="00404040"/>
      <sz val="9"/>
    </font>
    <font>
      <name val="Arial"/>
      <color rgb="00000000"/>
      <sz val="9"/>
    </font>
    <font>
      <name val="Arial"/>
      <b val="1"/>
      <color rgb="00000000"/>
      <sz val="12"/>
    </font>
    <font>
      <name val="Arial"/>
      <color rgb="00404040"/>
      <sz val="10"/>
    </font>
    <font>
      <name val="Arial"/>
      <b val="1"/>
      <color rgb="001F3864"/>
      <sz val="10"/>
    </font>
    <font>
      <name val="Arial"/>
      <b val="1"/>
      <color rgb="00C00000"/>
      <sz val="10"/>
    </font>
  </fonts>
  <fills count="7">
    <fill>
      <patternFill/>
    </fill>
    <fill>
      <patternFill patternType="gray125"/>
    </fill>
    <fill>
      <patternFill patternType="solid">
        <fgColor rgb="001F3864"/>
      </patternFill>
    </fill>
    <fill>
      <patternFill patternType="solid">
        <fgColor rgb="00D9E2F3"/>
      </patternFill>
    </fill>
    <fill>
      <patternFill patternType="solid">
        <fgColor rgb="00FFFF00"/>
      </patternFill>
    </fill>
    <fill>
      <patternFill patternType="solid">
        <fgColor rgb="00C6EFCE"/>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2" fillId="0" borderId="0" pivotButton="0" quotePrefix="0" xfId="0"/>
    <xf numFmtId="0" fontId="3" fillId="2" borderId="0" pivotButton="0" quotePrefix="0" xfId="0"/>
    <xf numFmtId="0" fontId="4" fillId="3" borderId="1" applyAlignment="1" pivotButton="0" quotePrefix="0" xfId="0">
      <alignment horizontal="left" vertical="top" wrapText="1"/>
    </xf>
    <xf numFmtId="0" fontId="5" fillId="0" borderId="1" applyAlignment="1" pivotButton="0" quotePrefix="0" xfId="0">
      <alignment horizontal="left" vertical="top" wrapText="1"/>
    </xf>
    <xf numFmtId="0" fontId="6" fillId="0" borderId="1" applyAlignment="1" pivotButton="0" quotePrefix="0" xfId="0">
      <alignment horizontal="right" vertical="top"/>
    </xf>
    <xf numFmtId="0" fontId="2" fillId="0" borderId="1" pivotButton="0" quotePrefix="0" xfId="0"/>
    <xf numFmtId="0" fontId="7" fillId="0" borderId="1" pivotButton="0" quotePrefix="0" xfId="0"/>
    <xf numFmtId="0" fontId="8" fillId="0" borderId="1" applyAlignment="1" pivotButton="0" quotePrefix="0" xfId="0">
      <alignment horizontal="left" vertical="top" wrapText="1"/>
    </xf>
    <xf numFmtId="0" fontId="9" fillId="0" borderId="1" pivotButton="0" quotePrefix="0" xfId="0"/>
    <xf numFmtId="0" fontId="6" fillId="4" borderId="1" applyAlignment="1" pivotButton="0" quotePrefix="0" xfId="0">
      <alignment horizontal="right" vertical="top"/>
    </xf>
    <xf numFmtId="0" fontId="10" fillId="0" borderId="1" pivotButton="0" quotePrefix="0" xfId="0"/>
    <xf numFmtId="164" fontId="6" fillId="0" borderId="1" applyAlignment="1" pivotButton="0" quotePrefix="0" xfId="0">
      <alignment horizontal="right" vertical="top"/>
    </xf>
    <xf numFmtId="164" fontId="6" fillId="4" borderId="1" applyAlignment="1" pivotButton="0" quotePrefix="0" xfId="0">
      <alignment horizontal="right" vertical="top"/>
    </xf>
    <xf numFmtId="165" fontId="6" fillId="4" borderId="1" applyAlignment="1" pivotButton="0" quotePrefix="0" xfId="0">
      <alignment horizontal="right" vertical="top"/>
    </xf>
    <xf numFmtId="166" fontId="6" fillId="0" borderId="1" applyAlignment="1" pivotButton="0" quotePrefix="0" xfId="0">
      <alignment horizontal="right" vertical="top"/>
    </xf>
    <xf numFmtId="167" fontId="6" fillId="0" borderId="1" applyAlignment="1" pivotButton="0" quotePrefix="0" xfId="0">
      <alignment horizontal="right" vertical="top"/>
    </xf>
    <xf numFmtId="167" fontId="6" fillId="4" borderId="1" applyAlignment="1" pivotButton="0" quotePrefix="0" xfId="0">
      <alignment horizontal="right" vertical="top"/>
    </xf>
    <xf numFmtId="166" fontId="6" fillId="4" borderId="1" applyAlignment="1" pivotButton="0" quotePrefix="0" xfId="0">
      <alignment horizontal="right" vertical="top"/>
    </xf>
    <xf numFmtId="0" fontId="11" fillId="0" borderId="1" applyAlignment="1" pivotButton="0" quotePrefix="0" xfId="0">
      <alignment horizontal="left" vertical="top" wrapText="1"/>
    </xf>
    <xf numFmtId="165" fontId="11" fillId="0" borderId="1" applyAlignment="1" pivotButton="0" quotePrefix="0" xfId="0">
      <alignment horizontal="right" vertical="top"/>
    </xf>
    <xf numFmtId="0" fontId="12" fillId="0" borderId="1" pivotButton="0" quotePrefix="0" xfId="0"/>
    <xf numFmtId="168" fontId="13" fillId="0" borderId="1" applyAlignment="1" pivotButton="0" quotePrefix="0" xfId="0">
      <alignment horizontal="right" vertical="top"/>
    </xf>
    <xf numFmtId="165" fontId="5" fillId="0" borderId="1" applyAlignment="1" pivotButton="0" quotePrefix="0" xfId="0">
      <alignment horizontal="right" vertical="top"/>
    </xf>
    <xf numFmtId="165" fontId="11" fillId="5" borderId="1" applyAlignment="1" pivotButton="0" quotePrefix="0" xfId="0">
      <alignment horizontal="right" vertical="top"/>
    </xf>
    <xf numFmtId="0" fontId="4" fillId="0" borderId="1" applyAlignment="1" pivotButton="0" quotePrefix="0" xfId="0">
      <alignment horizontal="left" vertical="top"/>
    </xf>
    <xf numFmtId="165" fontId="5" fillId="4" borderId="1" applyAlignment="1" pivotButton="0" quotePrefix="0" xfId="0">
      <alignment horizontal="right" vertical="top"/>
    </xf>
    <xf numFmtId="0" fontId="14" fillId="0" borderId="0" applyAlignment="1" pivotButton="0" quotePrefix="0" xfId="0">
      <alignment vertical="top" wrapText="1"/>
    </xf>
    <xf numFmtId="0" fontId="15" fillId="0" borderId="1" applyAlignment="1" pivotButton="0" quotePrefix="0" xfId="0">
      <alignment horizontal="left" vertical="top"/>
    </xf>
    <xf numFmtId="164" fontId="15" fillId="0" borderId="1" applyAlignment="1" pivotButton="0" quotePrefix="0" xfId="0">
      <alignment horizontal="right" vertical="top"/>
    </xf>
    <xf numFmtId="166" fontId="15" fillId="0" borderId="1" applyAlignment="1" pivotButton="0" quotePrefix="0" xfId="0">
      <alignment horizontal="right" vertical="top"/>
    </xf>
    <xf numFmtId="0" fontId="11" fillId="0" borderId="1" applyAlignment="1" pivotButton="0" quotePrefix="0" xfId="0">
      <alignment horizontal="left" vertical="top"/>
    </xf>
    <xf numFmtId="166" fontId="11" fillId="0" borderId="1" applyAlignment="1" pivotButton="0" quotePrefix="0" xfId="0">
      <alignment horizontal="right" vertical="top"/>
    </xf>
    <xf numFmtId="167" fontId="15" fillId="0" borderId="1" applyAlignment="1" pivotButton="0" quotePrefix="0" xfId="0">
      <alignment horizontal="right" vertical="top"/>
    </xf>
    <xf numFmtId="0" fontId="4" fillId="3" borderId="1" applyAlignment="1" pivotButton="0" quotePrefix="0" xfId="0">
      <alignment horizontal="left" vertical="top"/>
    </xf>
    <xf numFmtId="167" fontId="11" fillId="4" borderId="1" applyAlignment="1" pivotButton="0" quotePrefix="0" xfId="0">
      <alignment horizontal="right" vertical="top"/>
    </xf>
    <xf numFmtId="0" fontId="8" fillId="0" borderId="0" applyAlignment="1" pivotButton="0" quotePrefix="0" xfId="0">
      <alignment horizontal="left" vertical="top"/>
    </xf>
    <xf numFmtId="0" fontId="14" fillId="0" borderId="0" applyAlignment="1" pivotButton="0" quotePrefix="0" xfId="0">
      <alignment horizontal="left" vertical="top" wrapText="1"/>
    </xf>
    <xf numFmtId="169" fontId="11" fillId="0" borderId="1" applyAlignment="1" pivotButton="0" quotePrefix="0" xfId="0">
      <alignment horizontal="right" vertical="top"/>
    </xf>
    <xf numFmtId="167" fontId="5" fillId="0" borderId="1" applyAlignment="1" pivotButton="0" quotePrefix="0" xfId="0">
      <alignment horizontal="right" vertical="top"/>
    </xf>
    <xf numFmtId="165" fontId="11" fillId="4" borderId="1" applyAlignment="1" pivotButton="0" quotePrefix="0" xfId="0">
      <alignment horizontal="right" vertical="top"/>
    </xf>
    <xf numFmtId="170" fontId="11" fillId="4" borderId="1" applyAlignment="1" pivotButton="0" quotePrefix="0" xfId="0">
      <alignment horizontal="right" vertical="top"/>
    </xf>
    <xf numFmtId="0" fontId="4" fillId="0" borderId="1" applyAlignment="1" pivotButton="0" quotePrefix="0" xfId="0">
      <alignment horizontal="left" vertical="top" wrapText="1"/>
    </xf>
    <xf numFmtId="166" fontId="5" fillId="0" borderId="1" applyAlignment="1" pivotButton="0" quotePrefix="0" xfId="0">
      <alignment horizontal="right" vertical="top"/>
    </xf>
    <xf numFmtId="0" fontId="4" fillId="6" borderId="1" applyAlignment="1" pivotButton="0" quotePrefix="0" xfId="0">
      <alignment horizontal="center" vertical="top"/>
    </xf>
    <xf numFmtId="0" fontId="4" fillId="5" borderId="1" applyAlignment="1" pivotButton="0" quotePrefix="0" xfId="0">
      <alignment horizontal="center" vertical="top"/>
    </xf>
    <xf numFmtId="0" fontId="4" fillId="0" borderId="1" applyAlignment="1" pivotButton="0" quotePrefix="0" xfId="0">
      <alignment horizontal="center" vertical="top"/>
    </xf>
    <xf numFmtId="171" fontId="15" fillId="0" borderId="1" applyAlignment="1" pivotButton="0" quotePrefix="0" xfId="0">
      <alignment horizontal="right" vertical="top"/>
    </xf>
    <xf numFmtId="172" fontId="15" fillId="0" borderId="1" applyAlignment="1" pivotButton="0" quotePrefix="0" xfId="0">
      <alignment horizontal="right" vertical="top"/>
    </xf>
    <xf numFmtId="172" fontId="4" fillId="0" borderId="1" applyAlignment="1" pivotButton="0" quotePrefix="0" xfId="0">
      <alignment horizontal="right" vertical="top"/>
    </xf>
    <xf numFmtId="167" fontId="13" fillId="0" borderId="1" applyAlignment="1" pivotButton="0" quotePrefix="0" xfId="0">
      <alignment horizontal="right" vertical="top"/>
    </xf>
    <xf numFmtId="172" fontId="11" fillId="0" borderId="1" applyAlignment="1" pivotButton="0" quotePrefix="0" xfId="0">
      <alignment horizontal="right" vertical="top"/>
    </xf>
    <xf numFmtId="166" fontId="11" fillId="5" borderId="1" applyAlignment="1" pivotButton="0" quotePrefix="0" xfId="0">
      <alignment horizontal="right" vertical="top"/>
    </xf>
    <xf numFmtId="165" fontId="16" fillId="4" borderId="1" applyAlignment="1" pivotButton="0" quotePrefix="0" xfId="0">
      <alignment horizontal="right" vertical="top"/>
    </xf>
    <xf numFmtId="0" fontId="2" fillId="0" borderId="1" applyAlignment="1" pivotButton="0" quotePrefix="0" xfId="0">
      <alignment horizontal="center" vertical="top"/>
    </xf>
    <xf numFmtId="167" fontId="16" fillId="4" borderId="1" applyAlignment="1" pivotButton="0" quotePrefix="0" xfId="0">
      <alignment horizontal="right" vertical="top"/>
    </xf>
    <xf numFmtId="0" fontId="17" fillId="0" borderId="0" applyAlignment="1" pivotButton="0" quotePrefix="0" xfId="0">
      <alignment horizontal="left" vertical="top" wrapText="1"/>
    </xf>
    <xf numFmtId="0" fontId="15" fillId="0" borderId="1" applyAlignment="1" pivotButton="0" quotePrefix="0" xfId="0">
      <alignment horizontal="left" vertical="top" wrapText="1"/>
    </xf>
    <xf numFmtId="0" fontId="7" fillId="0" borderId="1" applyAlignment="1" pivotButton="0" quotePrefix="0" xfId="0">
      <alignment horizontal="center" vertical="top"/>
    </xf>
    <xf numFmtId="0" fontId="9" fillId="0" borderId="1" applyAlignment="1" pivotButton="0" quotePrefix="0" xfId="0">
      <alignment horizontal="center" vertical="top"/>
    </xf>
    <xf numFmtId="0" fontId="10" fillId="4" borderId="1" applyAlignment="1" pivotButton="0" quotePrefix="0" xfId="0">
      <alignment horizontal="center" vertical="top"/>
    </xf>
    <xf numFmtId="0" fontId="18" fillId="0" borderId="0" pivotButton="0" quotePrefix="0" xfId="0"/>
    <xf numFmtId="0" fontId="1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7"/>
  <sheetViews>
    <sheetView showGridLines="0" workbookViewId="0">
      <pane ySplit="4" topLeftCell="A5" activePane="bottomLeft" state="frozen"/>
      <selection pane="bottomLeft" activeCell="A1" sqref="A1"/>
    </sheetView>
  </sheetViews>
  <sheetFormatPr baseColWidth="8" defaultRowHeight="15"/>
  <cols>
    <col width="44" customWidth="1" min="1" max="1"/>
    <col width="14" customWidth="1" min="2" max="2"/>
    <col width="12" customWidth="1" min="3" max="3"/>
    <col width="13" customWidth="1" min="4" max="4"/>
    <col width="62" customWidth="1" min="5" max="5"/>
  </cols>
  <sheetData>
    <row r="1">
      <c r="A1" s="1" t="inlineStr">
        <is>
          <t>AGENTLY — Unit Economics &amp; Pricing Model</t>
        </is>
      </c>
    </row>
    <row r="2">
      <c r="A2" s="2" t="inlineStr">
        <is>
          <t>Every number below is either MEASURED (from the live code or database), SOURCED (published third-party figure, cited), or ASSUMPTION (a placeholder that must be replaced with a real measurement). Blue = you can change it. Yellow fill = assumption, replace as soon as real data exists. Every other sheet reads from this one — change a value here and the whole model updates.</t>
        </is>
      </c>
    </row>
    <row r="3">
      <c r="A3" s="3" t="inlineStr">
        <is>
          <t>Built 10 Sep 2026 · v1</t>
        </is>
      </c>
    </row>
    <row r="6">
      <c r="A6" s="4" t="inlineStr">
        <is>
          <t>A. WHAT A HOSTED CALL ACTUALLY COSTS US</t>
        </is>
      </c>
      <c r="B6" s="4" t="n"/>
      <c r="C6" s="4" t="n"/>
      <c r="D6" s="4" t="n"/>
      <c r="E6" s="4" t="n"/>
    </row>
    <row r="7">
      <c r="A7" s="5" t="inlineStr">
        <is>
          <t>Variable</t>
        </is>
      </c>
      <c r="B7" s="5" t="inlineStr">
        <is>
          <t>Value</t>
        </is>
      </c>
      <c r="C7" s="5" t="inlineStr">
        <is>
          <t>Unit</t>
        </is>
      </c>
      <c r="D7" s="5" t="inlineStr">
        <is>
          <t>Status</t>
        </is>
      </c>
      <c r="E7" s="5" t="inlineStr">
        <is>
          <t>Source / why this number</t>
        </is>
      </c>
    </row>
    <row r="8">
      <c r="A8" s="6" t="inlineStr">
        <is>
          <t>LLM the invoke route calls</t>
        </is>
      </c>
      <c r="B8" s="7" t="inlineStr">
        <is>
          <t>claude-sonnet-5</t>
        </is>
      </c>
      <c r="C8" s="8" t="inlineStr">
        <is>
          <t>model</t>
        </is>
      </c>
      <c r="D8" s="9" t="inlineStr">
        <is>
          <t>MEASURED</t>
        </is>
      </c>
      <c r="E8" s="10" t="inlineStr">
        <is>
          <t>app/api/hosted-agents/[slug]/invoke/route.ts:258 — read from the live code, not assumed.</t>
        </is>
      </c>
    </row>
    <row r="9">
      <c r="A9" s="6" t="inlineStr">
        <is>
          <t>Input price per 1M tokens (USD)</t>
        </is>
      </c>
      <c r="B9" s="7" t="n">
        <v>2</v>
      </c>
      <c r="C9" s="8" t="inlineStr">
        <is>
          <t>USD</t>
        </is>
      </c>
      <c r="D9" s="11" t="inlineStr">
        <is>
          <t>SOURCED</t>
        </is>
      </c>
      <c r="E9" s="10" t="inlineStr">
        <is>
          <t>Anthropic published API pricing for claude-sonnet-5. Verify at anthropic.com/pricing before investor use.</t>
        </is>
      </c>
    </row>
    <row r="10">
      <c r="A10" s="6" t="inlineStr">
        <is>
          <t>Output price per 1M tokens (USD)</t>
        </is>
      </c>
      <c r="B10" s="7" t="n">
        <v>10</v>
      </c>
      <c r="C10" s="8" t="inlineStr">
        <is>
          <t>USD</t>
        </is>
      </c>
      <c r="D10" s="11" t="inlineStr">
        <is>
          <t>SOURCED</t>
        </is>
      </c>
      <c r="E10" s="10" t="inlineStr">
        <is>
          <t>Anthropic published API pricing for claude-sonnet-5. Verify at anthropic.com/pricing before investor use.</t>
        </is>
      </c>
    </row>
    <row r="11">
      <c r="A11" s="6" t="inlineStr">
        <is>
          <t>USD → EUR conversion rate</t>
        </is>
      </c>
      <c r="B11" s="12" t="n">
        <v>0.92</v>
      </c>
      <c r="C11" s="8" t="inlineStr">
        <is>
          <t>EUR per USD</t>
        </is>
      </c>
      <c r="D11" s="13" t="inlineStr">
        <is>
          <t>ASSUMPTION</t>
        </is>
      </c>
      <c r="E11" s="10" t="inlineStr">
        <is>
          <t>Placeholder. Replace with the rate your Stripe/bank actually settles at.</t>
        </is>
      </c>
    </row>
    <row r="12">
      <c r="A12" s="6" t="inlineStr">
        <is>
          <t>max_tokens cap per call</t>
        </is>
      </c>
      <c r="B12" s="14" t="n">
        <v>2048</v>
      </c>
      <c r="C12" s="8" t="inlineStr">
        <is>
          <t>tokens</t>
        </is>
      </c>
      <c r="D12" s="9" t="inlineStr">
        <is>
          <t>MEASURED</t>
        </is>
      </c>
      <c r="E12" s="10" t="inlineStr">
        <is>
          <t>app/api/hosted-agents/[slug]/invoke/route.ts:259 — hard ceiling on output per call.</t>
        </is>
      </c>
    </row>
    <row r="13">
      <c r="A13" s="6" t="inlineStr">
        <is>
          <t>Average INPUT tokens per call</t>
        </is>
      </c>
      <c r="B13" s="15" t="n">
        <v>1500</v>
      </c>
      <c r="C13" s="8" t="inlineStr">
        <is>
          <t>tokens</t>
        </is>
      </c>
      <c r="D13" s="13" t="inlineStr">
        <is>
          <t>ASSUMPTION</t>
        </is>
      </c>
      <c r="E13" s="10" t="inlineStr">
        <is>
          <t>Hidden agent system prompt + user input. NOT measured — log real token counts from the Anthropic response usage object and replace this. This is the single most important number in the model.</t>
        </is>
      </c>
    </row>
    <row r="14">
      <c r="A14" s="6" t="inlineStr">
        <is>
          <t>Average OUTPUT tokens per call</t>
        </is>
      </c>
      <c r="B14" s="15" t="n">
        <v>600</v>
      </c>
      <c r="C14" s="8" t="inlineStr">
        <is>
          <t>tokens</t>
        </is>
      </c>
      <c r="D14" s="13" t="inlineStr">
        <is>
          <t>ASSUMPTION</t>
        </is>
      </c>
      <c r="E14" s="10" t="inlineStr">
        <is>
          <t>Assumed well below the 2048 cap. NOT measured — same fix as above: log response.usage.output_tokens.</t>
        </is>
      </c>
    </row>
    <row r="15">
      <c r="A15" s="6" t="inlineStr">
        <is>
          <t>Non-LLM infra cost per call (Vercel, Supabase)</t>
        </is>
      </c>
      <c r="B15" s="16" t="n">
        <v>0.0002</v>
      </c>
      <c r="C15" s="8" t="inlineStr">
        <is>
          <t>EUR</t>
        </is>
      </c>
      <c r="D15" s="13" t="inlineStr">
        <is>
          <t>ASSUMPTION</t>
        </is>
      </c>
      <c r="E15" s="10" t="inlineStr">
        <is>
          <t>Serverless function + DB writes per invocation. Small but non-zero. Replace with real Vercel/Supabase billing divided by call count once there is volume.</t>
        </is>
      </c>
    </row>
    <row r="17">
      <c r="A17" s="4" t="inlineStr">
        <is>
          <t>B. WHAT WE CHARGE — CURRENT LIVE PRICING</t>
        </is>
      </c>
      <c r="B17" s="4" t="n"/>
      <c r="C17" s="4" t="n"/>
      <c r="D17" s="4" t="n"/>
      <c r="E17" s="4" t="n"/>
    </row>
    <row r="18">
      <c r="A18" s="5" t="inlineStr">
        <is>
          <t>Variable</t>
        </is>
      </c>
      <c r="B18" s="5" t="inlineStr">
        <is>
          <t>Value</t>
        </is>
      </c>
      <c r="C18" s="5" t="inlineStr">
        <is>
          <t>Unit</t>
        </is>
      </c>
      <c r="D18" s="5" t="inlineStr">
        <is>
          <t>Status</t>
        </is>
      </c>
      <c r="E18" s="5" t="inlineStr">
        <is>
          <t>Source / why this number</t>
        </is>
      </c>
    </row>
    <row r="19">
      <c r="A19" s="6" t="inlineStr">
        <is>
          <t>Basic tier — monthly price</t>
        </is>
      </c>
      <c r="B19" s="17" t="n">
        <v>9</v>
      </c>
      <c r="C19" s="8" t="inlineStr">
        <is>
          <t>EUR</t>
        </is>
      </c>
      <c r="D19" s="9" t="inlineStr">
        <is>
          <t>MEASURED</t>
        </is>
      </c>
      <c r="E19" s="10" t="inlineStr">
        <is>
          <t>lib/membership.ts MEMBERSHIP_TIERS.basic.monthlyPriceCents = 900. Code comment calls it a placeholder.</t>
        </is>
      </c>
    </row>
    <row r="20">
      <c r="A20" s="6" t="inlineStr">
        <is>
          <t>Basic tier — monthly credits granted</t>
        </is>
      </c>
      <c r="B20" s="14" t="n">
        <v>300</v>
      </c>
      <c r="C20" s="8" t="inlineStr">
        <is>
          <t>credits</t>
        </is>
      </c>
      <c r="D20" s="9" t="inlineStr">
        <is>
          <t>MEASURED</t>
        </is>
      </c>
      <c r="E20" s="10" t="inlineStr">
        <is>
          <t>lib/membership.ts. Code comment: 'Round, clearly-arbitrary numbers... not measured against any real per-call cost.' This model exists to fix exactly that.</t>
        </is>
      </c>
    </row>
    <row r="21">
      <c r="A21" s="6" t="inlineStr">
        <is>
          <t>Pro tier — monthly price</t>
        </is>
      </c>
      <c r="B21" s="17" t="n">
        <v>29</v>
      </c>
      <c r="C21" s="8" t="inlineStr">
        <is>
          <t>EUR</t>
        </is>
      </c>
      <c r="D21" s="9" t="inlineStr">
        <is>
          <t>MEASURED</t>
        </is>
      </c>
      <c r="E21" s="10" t="inlineStr">
        <is>
          <t>lib/membership.ts monthlyPriceCents = 2900.</t>
        </is>
      </c>
    </row>
    <row r="22">
      <c r="A22" s="6" t="inlineStr">
        <is>
          <t>Pro tier — monthly credits granted</t>
        </is>
      </c>
      <c r="B22" s="14" t="n">
        <v>1500</v>
      </c>
      <c r="C22" s="8" t="inlineStr">
        <is>
          <t>credits</t>
        </is>
      </c>
      <c r="D22" s="9" t="inlineStr">
        <is>
          <t>MEASURED</t>
        </is>
      </c>
      <c r="E22" s="10" t="inlineStr">
        <is>
          <t>lib/membership.ts.</t>
        </is>
      </c>
    </row>
    <row r="23">
      <c r="A23" s="6" t="inlineStr">
        <is>
          <t>Professional tier — monthly price</t>
        </is>
      </c>
      <c r="B23" s="17" t="n">
        <v>99</v>
      </c>
      <c r="C23" s="8" t="inlineStr">
        <is>
          <t>EUR</t>
        </is>
      </c>
      <c r="D23" s="9" t="inlineStr">
        <is>
          <t>MEASURED</t>
        </is>
      </c>
      <c r="E23" s="10" t="inlineStr">
        <is>
          <t>lib/membership.ts monthlyPriceCents = 9900.</t>
        </is>
      </c>
    </row>
    <row r="24">
      <c r="A24" s="6" t="inlineStr">
        <is>
          <t>Professional tier — monthly credits granted</t>
        </is>
      </c>
      <c r="B24" s="14" t="n">
        <v>8000</v>
      </c>
      <c r="C24" s="8" t="inlineStr">
        <is>
          <t>credits</t>
        </is>
      </c>
      <c r="D24" s="9" t="inlineStr">
        <is>
          <t>MEASURED</t>
        </is>
      </c>
      <c r="E24" s="10" t="inlineStr">
        <is>
          <t>lib/membership.ts.</t>
        </is>
      </c>
    </row>
    <row r="25">
      <c r="A25" s="6" t="inlineStr">
        <is>
          <t>Credits charged per call (creator-set)</t>
        </is>
      </c>
      <c r="B25" s="15" t="n">
        <v>1</v>
      </c>
      <c r="C25" s="8" t="inlineStr">
        <is>
          <t>credits</t>
        </is>
      </c>
      <c r="D25" s="13" t="inlineStr">
        <is>
          <t>ASSUMPTION</t>
        </is>
      </c>
      <c r="E25" s="10" t="inlineStr">
        <is>
          <t>Each creator sets credits_per_call on their agent, capped at 50 (lib/hosted-agents.ts MAX_CREDITS_PER_CALL). 1 = the cheapest case, i.e. the worst case for us. Change to test other settings.</t>
        </is>
      </c>
    </row>
    <row r="26">
      <c r="A26" s="6" t="inlineStr">
        <is>
          <t>Free credits granted at signup (one-time)</t>
        </is>
      </c>
      <c r="B26" s="14" t="n">
        <v>20</v>
      </c>
      <c r="C26" s="8" t="inlineStr">
        <is>
          <t>credits</t>
        </is>
      </c>
      <c r="D26" s="9" t="inlineStr">
        <is>
          <t>MEASURED</t>
        </is>
      </c>
      <c r="E26" s="10" t="inlineStr">
        <is>
          <t>One-time non-renewing grant. Pure marketing cost — no revenue behind it.</t>
        </is>
      </c>
    </row>
    <row r="28">
      <c r="A28" s="4" t="inlineStr">
        <is>
          <t>C. HOW REVENUE IS SPLIT</t>
        </is>
      </c>
      <c r="B28" s="4" t="n"/>
      <c r="C28" s="4" t="n"/>
      <c r="D28" s="4" t="n"/>
      <c r="E28" s="4" t="n"/>
    </row>
    <row r="29">
      <c r="A29" s="5" t="inlineStr">
        <is>
          <t>Variable</t>
        </is>
      </c>
      <c r="B29" s="5" t="inlineStr">
        <is>
          <t>Value</t>
        </is>
      </c>
      <c r="C29" s="5" t="inlineStr">
        <is>
          <t>Unit</t>
        </is>
      </c>
      <c r="D29" s="5" t="inlineStr">
        <is>
          <t>Status</t>
        </is>
      </c>
      <c r="E29" s="5" t="inlineStr">
        <is>
          <t>Source / why this number</t>
        </is>
      </c>
    </row>
    <row r="30">
      <c r="A30" s="6" t="inlineStr">
        <is>
          <t>Platform fee — share WE keep</t>
        </is>
      </c>
      <c r="B30" s="18" t="n">
        <v>0.15</v>
      </c>
      <c r="C30" s="8" t="inlineStr">
        <is>
          <t>% of revenue</t>
        </is>
      </c>
      <c r="D30" s="9" t="inlineStr">
        <is>
          <t>MEASURED</t>
        </is>
      </c>
      <c r="E30" s="10" t="inlineStr">
        <is>
          <t>lib/membership.ts PLATFORM_FEE_PERCENT = 15. Report ch.6: 'start low (10-15%), raise once there's liquidity.'</t>
        </is>
      </c>
    </row>
    <row r="31">
      <c r="A31" s="6" t="inlineStr">
        <is>
          <t>Creator share — share THEY get</t>
        </is>
      </c>
      <c r="B31" s="18" t="n">
        <v>0.85</v>
      </c>
      <c r="C31" s="8" t="inlineStr">
        <is>
          <t>% of revenue</t>
        </is>
      </c>
      <c r="D31" s="9" t="inlineStr">
        <is>
          <t>MEASURED</t>
        </is>
      </c>
      <c r="E31" s="10">
        <f> 1 − platform fee. lib/creator-payouts.ts pools 85% of membership revenue and splits it by usage share.</f>
        <v/>
      </c>
    </row>
    <row r="32">
      <c r="A32" s="6" t="inlineStr">
        <is>
          <t>Creator payout is calculated on…</t>
        </is>
      </c>
      <c r="B32" s="7" t="inlineStr">
        <is>
          <t>GROSS revenue</t>
        </is>
      </c>
      <c r="C32" s="8" t="inlineStr">
        <is>
          <t>basis</t>
        </is>
      </c>
      <c r="D32" s="9" t="inlineStr">
        <is>
          <t>MEASURED</t>
        </is>
      </c>
      <c r="E32" s="10" t="inlineStr">
        <is>
          <t>lib/creator-payouts.ts: poolCents = totalRevenueCents × 85%. API cost is NOT deducted first. See sheet 4 — this is the structural problem.</t>
        </is>
      </c>
    </row>
    <row r="34">
      <c r="A34" s="4" t="inlineStr">
        <is>
          <t>D. PAYMENT PROCESSING</t>
        </is>
      </c>
      <c r="B34" s="4" t="n"/>
      <c r="C34" s="4" t="n"/>
      <c r="D34" s="4" t="n"/>
      <c r="E34" s="4" t="n"/>
    </row>
    <row r="35">
      <c r="A35" s="5" t="inlineStr">
        <is>
          <t>Variable</t>
        </is>
      </c>
      <c r="B35" s="5" t="inlineStr">
        <is>
          <t>Value</t>
        </is>
      </c>
      <c r="C35" s="5" t="inlineStr">
        <is>
          <t>Unit</t>
        </is>
      </c>
      <c r="D35" s="5" t="inlineStr">
        <is>
          <t>Status</t>
        </is>
      </c>
      <c r="E35" s="5" t="inlineStr">
        <is>
          <t>Source / why this number</t>
        </is>
      </c>
    </row>
    <row r="36">
      <c r="A36" s="6" t="inlineStr">
        <is>
          <t>Stripe percentage fee (EU cards)</t>
        </is>
      </c>
      <c r="B36" s="18" t="n">
        <v>0.015</v>
      </c>
      <c r="C36" s="8" t="inlineStr">
        <is>
          <t>% of charge</t>
        </is>
      </c>
      <c r="D36" s="11" t="inlineStr">
        <is>
          <t>SOURCED</t>
        </is>
      </c>
      <c r="E36" s="10" t="inlineStr">
        <is>
          <t>Stripe published EU standard rate ~1.5%. Verify against your own Stripe dashboard.</t>
        </is>
      </c>
    </row>
    <row r="37">
      <c r="A37" s="6" t="inlineStr">
        <is>
          <t>Stripe fixed fee per charge</t>
        </is>
      </c>
      <c r="B37" s="17" t="n">
        <v>0.25</v>
      </c>
      <c r="C37" s="8" t="inlineStr">
        <is>
          <t>EUR</t>
        </is>
      </c>
      <c r="D37" s="9" t="inlineStr">
        <is>
          <t>MEASURED</t>
        </is>
      </c>
      <c r="E37" s="10" t="inlineStr">
        <is>
          <t>lib/membership.ts comment: measured at ~€0.25-0.30 by running a live €1 test purchase and reading the resulting Stripe balance transactions — platform ended at -€0.13 net on it.</t>
        </is>
      </c>
    </row>
    <row r="39">
      <c r="A39" s="4" t="inlineStr">
        <is>
          <t>E. GROWTH ASSUMPTIONS (sheet 5 only — all unproven)</t>
        </is>
      </c>
      <c r="B39" s="4" t="n"/>
      <c r="C39" s="4" t="n"/>
      <c r="D39" s="4" t="n"/>
      <c r="E39" s="4" t="n"/>
    </row>
    <row r="40">
      <c r="A40" s="5" t="inlineStr">
        <is>
          <t>Variable</t>
        </is>
      </c>
      <c r="B40" s="5" t="inlineStr">
        <is>
          <t>Value</t>
        </is>
      </c>
      <c r="C40" s="5" t="inlineStr">
        <is>
          <t>Unit</t>
        </is>
      </c>
      <c r="D40" s="5" t="inlineStr">
        <is>
          <t>Status</t>
        </is>
      </c>
      <c r="E40" s="5" t="inlineStr">
        <is>
          <t>Source / why this number</t>
        </is>
      </c>
    </row>
    <row r="41">
      <c r="A41" s="6" t="inlineStr">
        <is>
          <t>Paying members at month 0</t>
        </is>
      </c>
      <c r="B41" s="14" t="n">
        <v>2</v>
      </c>
      <c r="C41" s="8" t="inlineStr">
        <is>
          <t>members</t>
        </is>
      </c>
      <c r="D41" s="9" t="inlineStr">
        <is>
          <t>MEASURED</t>
        </is>
      </c>
      <c r="E41" s="10" t="inlineStr">
        <is>
          <t>Live Supabase query 6.9.2026 — and both are David's own test accounts, not external customers.</t>
        </is>
      </c>
    </row>
    <row r="42">
      <c r="A42" s="6" t="inlineStr">
        <is>
          <t>New free signups per month</t>
        </is>
      </c>
      <c r="B42" s="15" t="n">
        <v>40</v>
      </c>
      <c r="C42" s="8" t="inlineStr">
        <is>
          <t>signups</t>
        </is>
      </c>
      <c r="D42" s="13" t="inlineStr">
        <is>
          <t>ASSUMPTION</t>
        </is>
      </c>
      <c r="E42" s="10" t="inlineStr">
        <is>
          <t>No basis in real data. There are 3 registered users total today. Placeholder to make the sheet compute.</t>
        </is>
      </c>
    </row>
    <row r="43">
      <c r="A43" s="6" t="inlineStr">
        <is>
          <t>Free → paid conversion rate</t>
        </is>
      </c>
      <c r="B43" s="19" t="n">
        <v>0.04</v>
      </c>
      <c r="C43" s="8" t="inlineStr">
        <is>
          <t>%</t>
        </is>
      </c>
      <c r="D43" s="13" t="inlineStr">
        <is>
          <t>ASSUMPTION</t>
        </is>
      </c>
      <c r="E43" s="10" t="inlineStr">
        <is>
          <t>Typical prosumer SaaS freemium conversion is low single digits. Not measured for this product.</t>
        </is>
      </c>
    </row>
    <row r="44">
      <c r="A44" s="6" t="inlineStr">
        <is>
          <t>Monthly churn of paying members</t>
        </is>
      </c>
      <c r="B44" s="19" t="n">
        <v>0.07000000000000001</v>
      </c>
      <c r="C44" s="8" t="inlineStr">
        <is>
          <t>%</t>
        </is>
      </c>
      <c r="D44" s="13" t="inlineStr">
        <is>
          <t>ASSUMPTION</t>
        </is>
      </c>
      <c r="E44" s="10" t="inlineStr">
        <is>
          <t>Placeholder in the normal SMB/prosumer range. Not measured — there is no cohort history yet.</t>
        </is>
      </c>
    </row>
    <row r="45">
      <c r="A45" s="6" t="inlineStr">
        <is>
          <t>Tier mix — Basic</t>
        </is>
      </c>
      <c r="B45" s="19" t="n">
        <v>0.6</v>
      </c>
      <c r="C45" s="8" t="inlineStr">
        <is>
          <t>% of paid</t>
        </is>
      </c>
      <c r="D45" s="13" t="inlineStr">
        <is>
          <t>ASSUMPTION</t>
        </is>
      </c>
      <c r="E45" s="10" t="inlineStr">
        <is>
          <t>Placeholder. No real mix data exists.</t>
        </is>
      </c>
    </row>
    <row r="46">
      <c r="A46" s="6" t="inlineStr">
        <is>
          <t>Tier mix — Pro</t>
        </is>
      </c>
      <c r="B46" s="19" t="n">
        <v>0.3</v>
      </c>
      <c r="C46" s="8" t="inlineStr">
        <is>
          <t>% of paid</t>
        </is>
      </c>
      <c r="D46" s="13" t="inlineStr">
        <is>
          <t>ASSUMPTION</t>
        </is>
      </c>
      <c r="E46" s="10" t="inlineStr">
        <is>
          <t>Placeholder.</t>
        </is>
      </c>
    </row>
    <row r="47">
      <c r="A47" s="6" t="inlineStr">
        <is>
          <t>Tier mix — Professional</t>
        </is>
      </c>
      <c r="B47" s="19" t="n">
        <v>0.1</v>
      </c>
      <c r="C47" s="8" t="inlineStr">
        <is>
          <t>% of paid</t>
        </is>
      </c>
      <c r="D47" s="13" t="inlineStr">
        <is>
          <t>ASSUMPTION</t>
        </is>
      </c>
      <c r="E47" s="10" t="inlineStr">
        <is>
          <t>Placeholder.</t>
        </is>
      </c>
    </row>
    <row r="48">
      <c r="A48" s="6" t="inlineStr">
        <is>
          <t>Credit utilisation — % of granted credits actually used</t>
        </is>
      </c>
      <c r="B48" s="19" t="n">
        <v>0.35</v>
      </c>
      <c r="C48" s="8" t="inlineStr">
        <is>
          <t>%</t>
        </is>
      </c>
      <c r="D48" s="13" t="inlineStr">
        <is>
          <t>ASSUMPTION</t>
        </is>
      </c>
      <c r="E48" s="10" t="inlineStr">
        <is>
          <t>THE swing variable. At low utilisation the model works; above the break-even on sheet 3 every member loses money. Must be measured from agently_agent_invocations as soon as there is real usage.</t>
        </is>
      </c>
    </row>
    <row r="49">
      <c r="A49" s="6" t="inlineStr">
        <is>
          <t>Fixed monthly operating cost</t>
        </is>
      </c>
      <c r="B49" s="20" t="n">
        <v>150</v>
      </c>
      <c r="C49" s="8" t="inlineStr">
        <is>
          <t>EUR</t>
        </is>
      </c>
      <c r="D49" s="13" t="inlineStr">
        <is>
          <t>ASSUMPTION</t>
        </is>
      </c>
      <c r="E49" s="10" t="inlineStr">
        <is>
          <t>Vercel + Supabase + domain + email. Excludes any salary for David.</t>
        </is>
      </c>
    </row>
    <row r="51">
      <c r="A51" s="4" t="inlineStr">
        <is>
          <t>F. DERIVED — COST PER CALL (calculated, do not edit)</t>
        </is>
      </c>
      <c r="B51" s="4" t="n"/>
      <c r="C51" s="4" t="n"/>
      <c r="D51" s="4" t="n"/>
      <c r="E51" s="4" t="n"/>
    </row>
    <row r="52">
      <c r="A52" s="5" t="inlineStr">
        <is>
          <t>Derived value</t>
        </is>
      </c>
      <c r="B52" s="5" t="inlineStr">
        <is>
          <t>Value</t>
        </is>
      </c>
      <c r="C52" s="5" t="inlineStr">
        <is>
          <t>Unit</t>
        </is>
      </c>
      <c r="D52" s="5" t="inlineStr">
        <is>
          <t>Status</t>
        </is>
      </c>
      <c r="E52" s="5" t="inlineStr">
        <is>
          <t>Formula in words</t>
        </is>
      </c>
    </row>
    <row r="53">
      <c r="A53" s="21" t="inlineStr">
        <is>
          <t>Input cost per call</t>
        </is>
      </c>
      <c r="B53" s="22">
        <f>($B$13/1000000)*$B$9*$B$11</f>
        <v/>
      </c>
      <c r="C53" s="8" t="inlineStr">
        <is>
          <t>EUR</t>
        </is>
      </c>
      <c r="D53" s="23" t="inlineStr">
        <is>
          <t>DERIVED</t>
        </is>
      </c>
      <c r="E53" s="10" t="inlineStr">
        <is>
          <t>avg input tokens ÷ 1M × input price × FX</t>
        </is>
      </c>
    </row>
    <row r="54">
      <c r="A54" s="21" t="inlineStr">
        <is>
          <t>Output cost per call</t>
        </is>
      </c>
      <c r="B54" s="22">
        <f>($B$14/1000000)*$B$10*$B$11</f>
        <v/>
      </c>
      <c r="C54" s="8" t="inlineStr">
        <is>
          <t>EUR</t>
        </is>
      </c>
      <c r="D54" s="23" t="inlineStr">
        <is>
          <t>DERIVED</t>
        </is>
      </c>
      <c r="E54" s="10" t="inlineStr">
        <is>
          <t>avg output tokens ÷ 1M × output price × FX</t>
        </is>
      </c>
    </row>
    <row r="55">
      <c r="A55" s="21" t="inlineStr">
        <is>
          <t>TOTAL cost per call (LLM + infra)</t>
        </is>
      </c>
      <c r="B55" s="22">
        <f>$B$53+$B$54+$B$15</f>
        <v/>
      </c>
      <c r="C55" s="8" t="inlineStr">
        <is>
          <t>EUR</t>
        </is>
      </c>
      <c r="D55" s="23" t="inlineStr">
        <is>
          <t>DERIVED</t>
        </is>
      </c>
      <c r="E55" s="10" t="inlineStr">
        <is>
          <t>input cost + output cost + infra cost</t>
        </is>
      </c>
    </row>
    <row r="56">
      <c r="A56" s="21" t="inlineStr">
        <is>
          <t>TOTAL cost per credit</t>
        </is>
      </c>
      <c r="B56" s="22">
        <f>$B$55/$B$25</f>
        <v/>
      </c>
      <c r="C56" s="8" t="inlineStr">
        <is>
          <t>EUR</t>
        </is>
      </c>
      <c r="D56" s="23" t="inlineStr">
        <is>
          <t>DERIVED</t>
        </is>
      </c>
      <c r="E56" s="10" t="inlineStr">
        <is>
          <t>cost per call ÷ credits charged per call</t>
        </is>
      </c>
    </row>
    <row r="57">
      <c r="A57" s="21" t="inlineStr">
        <is>
          <t>Cost of the free signup grant (per signup)</t>
        </is>
      </c>
      <c r="B57" s="22">
        <f>$B$26*$B$56</f>
        <v/>
      </c>
      <c r="C57" s="8" t="inlineStr">
        <is>
          <t>EUR</t>
        </is>
      </c>
      <c r="D57" s="23" t="inlineStr">
        <is>
          <t>DERIVED</t>
        </is>
      </c>
      <c r="E57" s="10" t="inlineStr">
        <is>
          <t>free credits × cost per credit — pure marketing cost, no revenue behind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
  <sheetViews>
    <sheetView showGridLines="0" workbookViewId="0">
      <pane ySplit="4" topLeftCell="A5"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 width="46" customWidth="1" min="7" max="7"/>
  </cols>
  <sheetData>
    <row r="1">
      <c r="A1" s="1" t="inlineStr">
        <is>
          <t>COST PER CALL — the bill of materials, in tokens</t>
        </is>
      </c>
    </row>
    <row r="2">
      <c r="A2" s="2" t="inlineStr">
        <is>
          <t>Béroche's BOM sheet costs a bottle, a pump and a label. Ours costs input tokens, output tokens and serverless compute. Same idea: you cannot price a product until you know what one unit costs to produce. The model column shows what the same call would cost on a cheaper Claude model — that is a real lever.</t>
        </is>
      </c>
    </row>
    <row r="4">
      <c r="A4" s="4" t="inlineStr">
        <is>
          <t>PER-CALL COST BY MODEL CHOICE</t>
        </is>
      </c>
      <c r="B4" s="4" t="n"/>
      <c r="C4" s="4" t="n"/>
      <c r="D4" s="4" t="n"/>
      <c r="E4" s="4" t="n"/>
      <c r="F4" s="4" t="n"/>
      <c r="G4" s="4" t="n"/>
    </row>
    <row r="5">
      <c r="A5" s="5" t="inlineStr">
        <is>
          <t>Model</t>
        </is>
      </c>
      <c r="B5" s="5" t="inlineStr">
        <is>
          <t>Input $/1M</t>
        </is>
      </c>
      <c r="C5" s="5" t="inlineStr">
        <is>
          <t>Output $/1M</t>
        </is>
      </c>
      <c r="D5" s="5" t="inlineStr">
        <is>
          <t>Input cost (€)</t>
        </is>
      </c>
      <c r="E5" s="5" t="inlineStr">
        <is>
          <t>Output cost (€)</t>
        </is>
      </c>
      <c r="F5" s="5" t="inlineStr">
        <is>
          <t>Total per call (€)</t>
        </is>
      </c>
      <c r="G5" s="5" t="inlineStr">
        <is>
          <t>Note</t>
        </is>
      </c>
    </row>
    <row r="6">
      <c r="A6" s="21" t="inlineStr">
        <is>
          <t>claude-sonnet-5  ← what we run today</t>
        </is>
      </c>
      <c r="B6" s="24" t="n">
        <v>2</v>
      </c>
      <c r="C6" s="24" t="n">
        <v>10</v>
      </c>
      <c r="D6" s="25">
        <f>('1_Inputs'!$B$13/1000000)*B6*'1_Inputs'!$B$11</f>
        <v/>
      </c>
      <c r="E6" s="25">
        <f>('1_Inputs'!$B$14/1000000)*C6*'1_Inputs'!$B$11</f>
        <v/>
      </c>
      <c r="F6" s="22">
        <f>D6+E6+'1_Inputs'!$B$15</f>
        <v/>
      </c>
      <c r="G6" s="10" t="inlineStr">
        <is>
          <t>Currently hardcoded in the invoke route. Source: Anthropic published pricing.</t>
        </is>
      </c>
    </row>
    <row r="7">
      <c r="A7" s="6" t="inlineStr">
        <is>
          <t>claude-haiku-4-5</t>
        </is>
      </c>
      <c r="B7" s="24" t="n">
        <v>1</v>
      </c>
      <c r="C7" s="24" t="n">
        <v>5</v>
      </c>
      <c r="D7" s="25">
        <f>('1_Inputs'!$B$13/1000000)*B7*'1_Inputs'!$B$11</f>
        <v/>
      </c>
      <c r="E7" s="25">
        <f>('1_Inputs'!$B$14/1000000)*C7*'1_Inputs'!$B$11</f>
        <v/>
      </c>
      <c r="F7" s="26">
        <f>D7+E7+'1_Inputs'!$B$15</f>
        <v/>
      </c>
      <c r="G7" s="10" t="inlineStr">
        <is>
          <t>Half the price of Sonnet 5. Viable for simple prompt-based agents (category 1) — a real cost lever.</t>
        </is>
      </c>
    </row>
    <row r="8">
      <c r="A8" s="6" t="inlineStr">
        <is>
          <t>claude-opus-5</t>
        </is>
      </c>
      <c r="B8" s="24" t="n">
        <v>5</v>
      </c>
      <c r="C8" s="24" t="n">
        <v>25</v>
      </c>
      <c r="D8" s="25">
        <f>('1_Inputs'!$B$13/1000000)*B8*'1_Inputs'!$B$11</f>
        <v/>
      </c>
      <c r="E8" s="25">
        <f>('1_Inputs'!$B$14/1000000)*C8*'1_Inputs'!$B$11</f>
        <v/>
      </c>
      <c r="F8" s="22">
        <f>D8+E8+'1_Inputs'!$B$15</f>
        <v/>
      </c>
      <c r="G8" s="10" t="inlineStr">
        <is>
          <t>2.5× Sonnet 5. Only justified for agents where output quality is the product.</t>
        </is>
      </c>
    </row>
    <row r="10">
      <c r="A10" s="4" t="inlineStr">
        <is>
          <t>SENSITIVITY — what if the token estimate is wrong?</t>
        </is>
      </c>
      <c r="B10" s="4" t="n"/>
      <c r="C10" s="4" t="n"/>
      <c r="D10" s="4" t="n"/>
      <c r="E10" s="4" t="n"/>
      <c r="F10" s="4" t="n"/>
      <c r="G10" s="4" t="n"/>
    </row>
    <row r="11" ht="28" customHeight="1">
      <c r="A11" s="2" t="inlineStr">
        <is>
          <t>The two token counts on sheet 1 are assumptions, not measurements. This grid shows the cost per call across a realistic range so you can see how much the answer moves. Read the row that matches your guess; the model uses the sheet-1 values.</t>
        </is>
      </c>
    </row>
    <row r="13">
      <c r="A13" s="5" t="inlineStr">
        <is>
          <t>Input tokens ↓  /  Output tokens →</t>
        </is>
      </c>
      <c r="B13" s="5" t="inlineStr">
        <is>
          <t>300</t>
        </is>
      </c>
      <c r="C13" s="5" t="inlineStr">
        <is>
          <t>600</t>
        </is>
      </c>
      <c r="D13" s="5" t="inlineStr">
        <is>
          <t>1,000</t>
        </is>
      </c>
      <c r="E13" s="5" t="inlineStr">
        <is>
          <t>1,500</t>
        </is>
      </c>
      <c r="F13" s="5" t="inlineStr">
        <is>
          <t>2,048 (cap)</t>
        </is>
      </c>
      <c r="G13" s="5" t="inlineStr"/>
    </row>
    <row r="14">
      <c r="A14" s="27" t="inlineStr">
        <is>
          <t>500 input tokens</t>
        </is>
      </c>
      <c r="B14" s="25">
        <f>(500/1000000)*'1_Inputs'!$B$9*'1_Inputs'!$B$11+(300/1000000)*'1_Inputs'!$B$10*'1_Inputs'!$B$11+'1_Inputs'!$B$15</f>
        <v/>
      </c>
      <c r="C14" s="25">
        <f>(500/1000000)*'1_Inputs'!$B$9*'1_Inputs'!$B$11+(600/1000000)*'1_Inputs'!$B$10*'1_Inputs'!$B$11+'1_Inputs'!$B$15</f>
        <v/>
      </c>
      <c r="D14" s="25">
        <f>(500/1000000)*'1_Inputs'!$B$9*'1_Inputs'!$B$11+(1000/1000000)*'1_Inputs'!$B$10*'1_Inputs'!$B$11+'1_Inputs'!$B$15</f>
        <v/>
      </c>
      <c r="E14" s="25">
        <f>(500/1000000)*'1_Inputs'!$B$9*'1_Inputs'!$B$11+(1500/1000000)*'1_Inputs'!$B$10*'1_Inputs'!$B$11+'1_Inputs'!$B$15</f>
        <v/>
      </c>
      <c r="F14" s="25">
        <f>(500/1000000)*'1_Inputs'!$B$9*'1_Inputs'!$B$11+(2048/1000000)*'1_Inputs'!$B$10*'1_Inputs'!$B$11+'1_Inputs'!$B$15</f>
        <v/>
      </c>
    </row>
    <row r="15">
      <c r="A15" s="27" t="inlineStr">
        <is>
          <t>1,000 input tokens</t>
        </is>
      </c>
      <c r="B15" s="25">
        <f>(1000/1000000)*'1_Inputs'!$B$9*'1_Inputs'!$B$11+(300/1000000)*'1_Inputs'!$B$10*'1_Inputs'!$B$11+'1_Inputs'!$B$15</f>
        <v/>
      </c>
      <c r="C15" s="25">
        <f>(1000/1000000)*'1_Inputs'!$B$9*'1_Inputs'!$B$11+(600/1000000)*'1_Inputs'!$B$10*'1_Inputs'!$B$11+'1_Inputs'!$B$15</f>
        <v/>
      </c>
      <c r="D15" s="25">
        <f>(1000/1000000)*'1_Inputs'!$B$9*'1_Inputs'!$B$11+(1000/1000000)*'1_Inputs'!$B$10*'1_Inputs'!$B$11+'1_Inputs'!$B$15</f>
        <v/>
      </c>
      <c r="E15" s="25">
        <f>(1000/1000000)*'1_Inputs'!$B$9*'1_Inputs'!$B$11+(1500/1000000)*'1_Inputs'!$B$10*'1_Inputs'!$B$11+'1_Inputs'!$B$15</f>
        <v/>
      </c>
      <c r="F15" s="25">
        <f>(1000/1000000)*'1_Inputs'!$B$9*'1_Inputs'!$B$11+(2048/1000000)*'1_Inputs'!$B$10*'1_Inputs'!$B$11+'1_Inputs'!$B$15</f>
        <v/>
      </c>
    </row>
    <row r="16">
      <c r="A16" s="27" t="inlineStr">
        <is>
          <t>1,500 input tokens</t>
        </is>
      </c>
      <c r="B16" s="25">
        <f>(1500/1000000)*'1_Inputs'!$B$9*'1_Inputs'!$B$11+(300/1000000)*'1_Inputs'!$B$10*'1_Inputs'!$B$11+'1_Inputs'!$B$15</f>
        <v/>
      </c>
      <c r="C16" s="28">
        <f>(1500/1000000)*'1_Inputs'!$B$9*'1_Inputs'!$B$11+(600/1000000)*'1_Inputs'!$B$10*'1_Inputs'!$B$11+'1_Inputs'!$B$15</f>
        <v/>
      </c>
      <c r="D16" s="25">
        <f>(1500/1000000)*'1_Inputs'!$B$9*'1_Inputs'!$B$11+(1000/1000000)*'1_Inputs'!$B$10*'1_Inputs'!$B$11+'1_Inputs'!$B$15</f>
        <v/>
      </c>
      <c r="E16" s="25">
        <f>(1500/1000000)*'1_Inputs'!$B$9*'1_Inputs'!$B$11+(1500/1000000)*'1_Inputs'!$B$10*'1_Inputs'!$B$11+'1_Inputs'!$B$15</f>
        <v/>
      </c>
      <c r="F16" s="25">
        <f>(1500/1000000)*'1_Inputs'!$B$9*'1_Inputs'!$B$11+(2048/1000000)*'1_Inputs'!$B$10*'1_Inputs'!$B$11+'1_Inputs'!$B$15</f>
        <v/>
      </c>
    </row>
    <row r="17">
      <c r="A17" s="27" t="inlineStr">
        <is>
          <t>2,500 input tokens</t>
        </is>
      </c>
      <c r="B17" s="25">
        <f>(2500/1000000)*'1_Inputs'!$B$9*'1_Inputs'!$B$11+(300/1000000)*'1_Inputs'!$B$10*'1_Inputs'!$B$11+'1_Inputs'!$B$15</f>
        <v/>
      </c>
      <c r="C17" s="25">
        <f>(2500/1000000)*'1_Inputs'!$B$9*'1_Inputs'!$B$11+(600/1000000)*'1_Inputs'!$B$10*'1_Inputs'!$B$11+'1_Inputs'!$B$15</f>
        <v/>
      </c>
      <c r="D17" s="25">
        <f>(2500/1000000)*'1_Inputs'!$B$9*'1_Inputs'!$B$11+(1000/1000000)*'1_Inputs'!$B$10*'1_Inputs'!$B$11+'1_Inputs'!$B$15</f>
        <v/>
      </c>
      <c r="E17" s="25">
        <f>(2500/1000000)*'1_Inputs'!$B$9*'1_Inputs'!$B$11+(1500/1000000)*'1_Inputs'!$B$10*'1_Inputs'!$B$11+'1_Inputs'!$B$15</f>
        <v/>
      </c>
      <c r="F17" s="25">
        <f>(2500/1000000)*'1_Inputs'!$B$9*'1_Inputs'!$B$11+(2048/1000000)*'1_Inputs'!$B$10*'1_Inputs'!$B$11+'1_Inputs'!$B$15</f>
        <v/>
      </c>
    </row>
    <row r="18">
      <c r="A18" s="27" t="inlineStr">
        <is>
          <t>4,000 input tokens</t>
        </is>
      </c>
      <c r="B18" s="25">
        <f>(4000/1000000)*'1_Inputs'!$B$9*'1_Inputs'!$B$11+(300/1000000)*'1_Inputs'!$B$10*'1_Inputs'!$B$11+'1_Inputs'!$B$15</f>
        <v/>
      </c>
      <c r="C18" s="25">
        <f>(4000/1000000)*'1_Inputs'!$B$9*'1_Inputs'!$B$11+(600/1000000)*'1_Inputs'!$B$10*'1_Inputs'!$B$11+'1_Inputs'!$B$15</f>
        <v/>
      </c>
      <c r="D18" s="25">
        <f>(4000/1000000)*'1_Inputs'!$B$9*'1_Inputs'!$B$11+(1000/1000000)*'1_Inputs'!$B$10*'1_Inputs'!$B$11+'1_Inputs'!$B$15</f>
        <v/>
      </c>
      <c r="E18" s="25">
        <f>(4000/1000000)*'1_Inputs'!$B$9*'1_Inputs'!$B$11+(1500/1000000)*'1_Inputs'!$B$10*'1_Inputs'!$B$11+'1_Inputs'!$B$15</f>
        <v/>
      </c>
      <c r="F18" s="25">
        <f>(4000/1000000)*'1_Inputs'!$B$9*'1_Inputs'!$B$11+(2048/1000000)*'1_Inputs'!$B$10*'1_Inputs'!$B$11+'1_Inputs'!$B$15</f>
        <v/>
      </c>
    </row>
    <row r="20" ht="28" customHeight="1">
      <c r="A20" s="29" t="inlineStr">
        <is>
          <t>Yellow cell = the combination the model currently assumes. Across this whole grid the cost per call stays between roughly €0.002 and €0.030 — so even the optimistic corner does not rescue the tier economics on sheet 3.</t>
        </is>
      </c>
    </row>
  </sheetData>
  <mergeCells count="2">
    <mergeCell ref="A20:G20"/>
    <mergeCell ref="A11:G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4"/>
  <sheetViews>
    <sheetView showGridLines="0" workbookViewId="0">
      <pane ySplit="4" topLeftCell="A5" activePane="bottomLeft" state="frozen"/>
      <selection pane="bottomLef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4" customWidth="1" min="7" max="7"/>
  </cols>
  <sheetData>
    <row r="1">
      <c r="A1" s="1" t="inlineStr">
        <is>
          <t>TIER MARGINS — does each membership actually make money?</t>
        </is>
      </c>
    </row>
    <row r="2">
      <c r="A2" s="2" t="inlineStr">
        <is>
          <t>For each tier: what we charge, what we owe the creator (85% of GROSS revenue, per lib/creator-payouts.ts), what Stripe takes, and what the API calls cost us. Columns are credit utilisation — the share of the granted monthly credits a member actually uses. The break-even row is the punchline.</t>
        </is>
      </c>
    </row>
    <row r="4">
      <c r="A4" s="4" t="inlineStr">
        <is>
          <t>BASIC  —  see sheet 1 for price and credit allotment</t>
        </is>
      </c>
      <c r="B4" s="4" t="n"/>
      <c r="C4" s="4" t="n"/>
      <c r="D4" s="4" t="n"/>
      <c r="E4" s="4" t="n"/>
      <c r="F4" s="4" t="n"/>
    </row>
    <row r="5">
      <c r="A5" s="5" t="inlineStr">
        <is>
          <t>Metric</t>
        </is>
      </c>
      <c r="B5" s="5" t="inlineStr">
        <is>
          <t>10% used</t>
        </is>
      </c>
      <c r="C5" s="5" t="inlineStr">
        <is>
          <t>25% used</t>
        </is>
      </c>
      <c r="D5" s="5" t="inlineStr">
        <is>
          <t>50% used</t>
        </is>
      </c>
      <c r="E5" s="5" t="inlineStr">
        <is>
          <t>75% used</t>
        </is>
      </c>
      <c r="F5" s="5" t="inlineStr">
        <is>
          <t>100% used</t>
        </is>
      </c>
    </row>
    <row r="6">
      <c r="A6" s="30" t="inlineStr">
        <is>
          <t>Credits actually used</t>
        </is>
      </c>
      <c r="B6" s="31">
        <f>'1_Inputs'!$B$20*0.1</f>
        <v/>
      </c>
      <c r="C6" s="31">
        <f>'1_Inputs'!$B$20*0.25</f>
        <v/>
      </c>
      <c r="D6" s="31">
        <f>'1_Inputs'!$B$20*0.5</f>
        <v/>
      </c>
      <c r="E6" s="31">
        <f>'1_Inputs'!$B$20*0.75</f>
        <v/>
      </c>
      <c r="F6" s="31">
        <f>'1_Inputs'!$B$20*1.0</f>
        <v/>
      </c>
    </row>
    <row r="7">
      <c r="A7" s="30" t="inlineStr">
        <is>
          <t>Calls that represents</t>
        </is>
      </c>
      <c r="B7" s="31">
        <f>'1_Inputs'!$B$20*0.1/'1_Inputs'!$B$25</f>
        <v/>
      </c>
      <c r="C7" s="31">
        <f>'1_Inputs'!$B$20*0.25/'1_Inputs'!$B$25</f>
        <v/>
      </c>
      <c r="D7" s="31">
        <f>'1_Inputs'!$B$20*0.5/'1_Inputs'!$B$25</f>
        <v/>
      </c>
      <c r="E7" s="31">
        <f>'1_Inputs'!$B$20*0.75/'1_Inputs'!$B$25</f>
        <v/>
      </c>
      <c r="F7" s="31">
        <f>'1_Inputs'!$B$20*1.0/'1_Inputs'!$B$25</f>
        <v/>
      </c>
    </row>
    <row r="8">
      <c r="A8" s="27" t="inlineStr">
        <is>
          <t>Gross revenue (member pays)</t>
        </is>
      </c>
      <c r="B8" s="32">
        <f>'1_Inputs'!$B$19</f>
        <v/>
      </c>
      <c r="C8" s="32">
        <f>'1_Inputs'!$B$19</f>
        <v/>
      </c>
      <c r="D8" s="32">
        <f>'1_Inputs'!$B$19</f>
        <v/>
      </c>
      <c r="E8" s="32">
        <f>'1_Inputs'!$B$19</f>
        <v/>
      </c>
      <c r="F8" s="32">
        <f>'1_Inputs'!$B$19</f>
        <v/>
      </c>
    </row>
    <row r="9">
      <c r="A9" s="30" t="inlineStr">
        <is>
          <t>less: creator payout (85% of gross)</t>
        </is>
      </c>
      <c r="B9" s="32">
        <f>-'1_Inputs'!$B$19*'1_Inputs'!$B$31</f>
        <v/>
      </c>
      <c r="C9" s="32">
        <f>-'1_Inputs'!$B$19*'1_Inputs'!$B$31</f>
        <v/>
      </c>
      <c r="D9" s="32">
        <f>-'1_Inputs'!$B$19*'1_Inputs'!$B$31</f>
        <v/>
      </c>
      <c r="E9" s="32">
        <f>-'1_Inputs'!$B$19*'1_Inputs'!$B$31</f>
        <v/>
      </c>
      <c r="F9" s="32">
        <f>-'1_Inputs'!$B$19*'1_Inputs'!$B$31</f>
        <v/>
      </c>
    </row>
    <row r="10">
      <c r="A10" s="30" t="inlineStr">
        <is>
          <t>less: Stripe processing fee</t>
        </is>
      </c>
      <c r="B10" s="32">
        <f>-('1_Inputs'!$B$19*'1_Inputs'!$B$36+'1_Inputs'!$B$37)</f>
        <v/>
      </c>
      <c r="C10" s="32">
        <f>-('1_Inputs'!$B$19*'1_Inputs'!$B$36+'1_Inputs'!$B$37)</f>
        <v/>
      </c>
      <c r="D10" s="32">
        <f>-('1_Inputs'!$B$19*'1_Inputs'!$B$36+'1_Inputs'!$B$37)</f>
        <v/>
      </c>
      <c r="E10" s="32">
        <f>-('1_Inputs'!$B$19*'1_Inputs'!$B$36+'1_Inputs'!$B$37)</f>
        <v/>
      </c>
      <c r="F10" s="32">
        <f>-('1_Inputs'!$B$19*'1_Inputs'!$B$36+'1_Inputs'!$B$37)</f>
        <v/>
      </c>
    </row>
    <row r="11">
      <c r="A11" s="30" t="inlineStr">
        <is>
          <t>less: API + infra cost</t>
        </is>
      </c>
      <c r="B11" s="32">
        <f>-'1_Inputs'!$B$20*0.1*'1_Inputs'!$B$56</f>
        <v/>
      </c>
      <c r="C11" s="32">
        <f>-'1_Inputs'!$B$20*0.25*'1_Inputs'!$B$56</f>
        <v/>
      </c>
      <c r="D11" s="32">
        <f>-'1_Inputs'!$B$20*0.5*'1_Inputs'!$B$56</f>
        <v/>
      </c>
      <c r="E11" s="32">
        <f>-'1_Inputs'!$B$20*0.75*'1_Inputs'!$B$56</f>
        <v/>
      </c>
      <c r="F11" s="32">
        <f>-'1_Inputs'!$B$20*1.0*'1_Inputs'!$B$56</f>
        <v/>
      </c>
    </row>
    <row r="12">
      <c r="A12" s="33">
        <f> PLATFORM NET PER MEMBER / MONTH</f>
        <v/>
      </c>
      <c r="B12" s="34">
        <f>SUM(B8:B11)</f>
        <v/>
      </c>
      <c r="C12" s="34">
        <f>SUM(C8:C11)</f>
        <v/>
      </c>
      <c r="D12" s="34">
        <f>SUM(D8:D11)</f>
        <v/>
      </c>
      <c r="E12" s="34">
        <f>SUM(E8:E11)</f>
        <v/>
      </c>
      <c r="F12" s="34">
        <f>SUM(F8:F11)</f>
        <v/>
      </c>
    </row>
    <row r="13">
      <c r="A13" s="30" t="inlineStr">
        <is>
          <t>Net margin % of revenue</t>
        </is>
      </c>
      <c r="B13" s="35">
        <f>IFERROR(B12/'1_Inputs'!$B$19,0)</f>
        <v/>
      </c>
      <c r="C13" s="35">
        <f>IFERROR(C12/'1_Inputs'!$B$19,0)</f>
        <v/>
      </c>
      <c r="D13" s="35">
        <f>IFERROR(D12/'1_Inputs'!$B$19,0)</f>
        <v/>
      </c>
      <c r="E13" s="35">
        <f>IFERROR(E12/'1_Inputs'!$B$19,0)</f>
        <v/>
      </c>
      <c r="F13" s="35">
        <f>IFERROR(F12/'1_Inputs'!$B$19,0)</f>
        <v/>
      </c>
    </row>
    <row r="14">
      <c r="A14" s="36" t="inlineStr">
        <is>
          <t>BREAK-EVEN utilisation (above this, we lose money)</t>
        </is>
      </c>
      <c r="B14" s="37">
        <f>IFERROR(('1_Inputs'!$B$19*(1-'1_Inputs'!$B$31)-('1_Inputs'!$B$19*'1_Inputs'!$B$36+'1_Inputs'!$B$37))/('1_Inputs'!$B$20*'1_Inputs'!$B$56),0)</f>
        <v/>
      </c>
      <c r="C14" s="38" t="inlineStr">
        <is>
          <t>← what we keep after creator + Stripe, divided by the cost of using every granted credit</t>
        </is>
      </c>
    </row>
    <row r="17">
      <c r="A17" s="4" t="inlineStr">
        <is>
          <t>PRO  —  see sheet 1 for price and credit allotment</t>
        </is>
      </c>
      <c r="B17" s="4" t="n"/>
      <c r="C17" s="4" t="n"/>
      <c r="D17" s="4" t="n"/>
      <c r="E17" s="4" t="n"/>
      <c r="F17" s="4" t="n"/>
    </row>
    <row r="18">
      <c r="A18" s="5" t="inlineStr">
        <is>
          <t>Metric</t>
        </is>
      </c>
      <c r="B18" s="5" t="inlineStr">
        <is>
          <t>10% used</t>
        </is>
      </c>
      <c r="C18" s="5" t="inlineStr">
        <is>
          <t>25% used</t>
        </is>
      </c>
      <c r="D18" s="5" t="inlineStr">
        <is>
          <t>50% used</t>
        </is>
      </c>
      <c r="E18" s="5" t="inlineStr">
        <is>
          <t>75% used</t>
        </is>
      </c>
      <c r="F18" s="5" t="inlineStr">
        <is>
          <t>100% used</t>
        </is>
      </c>
    </row>
    <row r="19">
      <c r="A19" s="30" t="inlineStr">
        <is>
          <t>Credits actually used</t>
        </is>
      </c>
      <c r="B19" s="31">
        <f>'1_Inputs'!$B$22*0.1</f>
        <v/>
      </c>
      <c r="C19" s="31">
        <f>'1_Inputs'!$B$22*0.25</f>
        <v/>
      </c>
      <c r="D19" s="31">
        <f>'1_Inputs'!$B$22*0.5</f>
        <v/>
      </c>
      <c r="E19" s="31">
        <f>'1_Inputs'!$B$22*0.75</f>
        <v/>
      </c>
      <c r="F19" s="31">
        <f>'1_Inputs'!$B$22*1.0</f>
        <v/>
      </c>
    </row>
    <row r="20">
      <c r="A20" s="30" t="inlineStr">
        <is>
          <t>Calls that represents</t>
        </is>
      </c>
      <c r="B20" s="31">
        <f>'1_Inputs'!$B$22*0.1/'1_Inputs'!$B$25</f>
        <v/>
      </c>
      <c r="C20" s="31">
        <f>'1_Inputs'!$B$22*0.25/'1_Inputs'!$B$25</f>
        <v/>
      </c>
      <c r="D20" s="31">
        <f>'1_Inputs'!$B$22*0.5/'1_Inputs'!$B$25</f>
        <v/>
      </c>
      <c r="E20" s="31">
        <f>'1_Inputs'!$B$22*0.75/'1_Inputs'!$B$25</f>
        <v/>
      </c>
      <c r="F20" s="31">
        <f>'1_Inputs'!$B$22*1.0/'1_Inputs'!$B$25</f>
        <v/>
      </c>
    </row>
    <row r="21">
      <c r="A21" s="27" t="inlineStr">
        <is>
          <t>Gross revenue (member pays)</t>
        </is>
      </c>
      <c r="B21" s="32">
        <f>'1_Inputs'!$B$21</f>
        <v/>
      </c>
      <c r="C21" s="32">
        <f>'1_Inputs'!$B$21</f>
        <v/>
      </c>
      <c r="D21" s="32">
        <f>'1_Inputs'!$B$21</f>
        <v/>
      </c>
      <c r="E21" s="32">
        <f>'1_Inputs'!$B$21</f>
        <v/>
      </c>
      <c r="F21" s="32">
        <f>'1_Inputs'!$B$21</f>
        <v/>
      </c>
    </row>
    <row r="22">
      <c r="A22" s="30" t="inlineStr">
        <is>
          <t>less: creator payout (85% of gross)</t>
        </is>
      </c>
      <c r="B22" s="32">
        <f>-'1_Inputs'!$B$21*'1_Inputs'!$B$31</f>
        <v/>
      </c>
      <c r="C22" s="32">
        <f>-'1_Inputs'!$B$21*'1_Inputs'!$B$31</f>
        <v/>
      </c>
      <c r="D22" s="32">
        <f>-'1_Inputs'!$B$21*'1_Inputs'!$B$31</f>
        <v/>
      </c>
      <c r="E22" s="32">
        <f>-'1_Inputs'!$B$21*'1_Inputs'!$B$31</f>
        <v/>
      </c>
      <c r="F22" s="32">
        <f>-'1_Inputs'!$B$21*'1_Inputs'!$B$31</f>
        <v/>
      </c>
    </row>
    <row r="23">
      <c r="A23" s="30" t="inlineStr">
        <is>
          <t>less: Stripe processing fee</t>
        </is>
      </c>
      <c r="B23" s="32">
        <f>-('1_Inputs'!$B$21*'1_Inputs'!$B$36+'1_Inputs'!$B$37)</f>
        <v/>
      </c>
      <c r="C23" s="32">
        <f>-('1_Inputs'!$B$21*'1_Inputs'!$B$36+'1_Inputs'!$B$37)</f>
        <v/>
      </c>
      <c r="D23" s="32">
        <f>-('1_Inputs'!$B$21*'1_Inputs'!$B$36+'1_Inputs'!$B$37)</f>
        <v/>
      </c>
      <c r="E23" s="32">
        <f>-('1_Inputs'!$B$21*'1_Inputs'!$B$36+'1_Inputs'!$B$37)</f>
        <v/>
      </c>
      <c r="F23" s="32">
        <f>-('1_Inputs'!$B$21*'1_Inputs'!$B$36+'1_Inputs'!$B$37)</f>
        <v/>
      </c>
    </row>
    <row r="24">
      <c r="A24" s="30" t="inlineStr">
        <is>
          <t>less: API + infra cost</t>
        </is>
      </c>
      <c r="B24" s="32">
        <f>-'1_Inputs'!$B$22*0.1*'1_Inputs'!$B$56</f>
        <v/>
      </c>
      <c r="C24" s="32">
        <f>-'1_Inputs'!$B$22*0.25*'1_Inputs'!$B$56</f>
        <v/>
      </c>
      <c r="D24" s="32">
        <f>-'1_Inputs'!$B$22*0.5*'1_Inputs'!$B$56</f>
        <v/>
      </c>
      <c r="E24" s="32">
        <f>-'1_Inputs'!$B$22*0.75*'1_Inputs'!$B$56</f>
        <v/>
      </c>
      <c r="F24" s="32">
        <f>-'1_Inputs'!$B$22*1.0*'1_Inputs'!$B$56</f>
        <v/>
      </c>
    </row>
    <row r="25">
      <c r="A25" s="33">
        <f> PLATFORM NET PER MEMBER / MONTH</f>
        <v/>
      </c>
      <c r="B25" s="34">
        <f>SUM(B21:B24)</f>
        <v/>
      </c>
      <c r="C25" s="34">
        <f>SUM(C21:C24)</f>
        <v/>
      </c>
      <c r="D25" s="34">
        <f>SUM(D21:D24)</f>
        <v/>
      </c>
      <c r="E25" s="34">
        <f>SUM(E21:E24)</f>
        <v/>
      </c>
      <c r="F25" s="34">
        <f>SUM(F21:F24)</f>
        <v/>
      </c>
    </row>
    <row r="26">
      <c r="A26" s="30" t="inlineStr">
        <is>
          <t>Net margin % of revenue</t>
        </is>
      </c>
      <c r="B26" s="35">
        <f>IFERROR(B25/'1_Inputs'!$B$21,0)</f>
        <v/>
      </c>
      <c r="C26" s="35">
        <f>IFERROR(C25/'1_Inputs'!$B$21,0)</f>
        <v/>
      </c>
      <c r="D26" s="35">
        <f>IFERROR(D25/'1_Inputs'!$B$21,0)</f>
        <v/>
      </c>
      <c r="E26" s="35">
        <f>IFERROR(E25/'1_Inputs'!$B$21,0)</f>
        <v/>
      </c>
      <c r="F26" s="35">
        <f>IFERROR(F25/'1_Inputs'!$B$21,0)</f>
        <v/>
      </c>
    </row>
    <row r="27">
      <c r="A27" s="36" t="inlineStr">
        <is>
          <t>BREAK-EVEN utilisation (above this, we lose money)</t>
        </is>
      </c>
      <c r="B27" s="37">
        <f>IFERROR(('1_Inputs'!$B$21*(1-'1_Inputs'!$B$31)-('1_Inputs'!$B$21*'1_Inputs'!$B$36+'1_Inputs'!$B$37))/('1_Inputs'!$B$22*'1_Inputs'!$B$56),0)</f>
        <v/>
      </c>
      <c r="C27" s="38" t="inlineStr">
        <is>
          <t>← what we keep after creator + Stripe, divided by the cost of using every granted credit</t>
        </is>
      </c>
    </row>
    <row r="30">
      <c r="A30" s="4" t="inlineStr">
        <is>
          <t>PROFESSIONAL  —  see sheet 1 for price and credit allotment</t>
        </is>
      </c>
      <c r="B30" s="4" t="n"/>
      <c r="C30" s="4" t="n"/>
      <c r="D30" s="4" t="n"/>
      <c r="E30" s="4" t="n"/>
      <c r="F30" s="4" t="n"/>
    </row>
    <row r="31">
      <c r="A31" s="5" t="inlineStr">
        <is>
          <t>Metric</t>
        </is>
      </c>
      <c r="B31" s="5" t="inlineStr">
        <is>
          <t>10% used</t>
        </is>
      </c>
      <c r="C31" s="5" t="inlineStr">
        <is>
          <t>25% used</t>
        </is>
      </c>
      <c r="D31" s="5" t="inlineStr">
        <is>
          <t>50% used</t>
        </is>
      </c>
      <c r="E31" s="5" t="inlineStr">
        <is>
          <t>75% used</t>
        </is>
      </c>
      <c r="F31" s="5" t="inlineStr">
        <is>
          <t>100% used</t>
        </is>
      </c>
    </row>
    <row r="32">
      <c r="A32" s="30" t="inlineStr">
        <is>
          <t>Credits actually used</t>
        </is>
      </c>
      <c r="B32" s="31">
        <f>'1_Inputs'!$B$24*0.1</f>
        <v/>
      </c>
      <c r="C32" s="31">
        <f>'1_Inputs'!$B$24*0.25</f>
        <v/>
      </c>
      <c r="D32" s="31">
        <f>'1_Inputs'!$B$24*0.5</f>
        <v/>
      </c>
      <c r="E32" s="31">
        <f>'1_Inputs'!$B$24*0.75</f>
        <v/>
      </c>
      <c r="F32" s="31">
        <f>'1_Inputs'!$B$24*1.0</f>
        <v/>
      </c>
    </row>
    <row r="33">
      <c r="A33" s="30" t="inlineStr">
        <is>
          <t>Calls that represents</t>
        </is>
      </c>
      <c r="B33" s="31">
        <f>'1_Inputs'!$B$24*0.1/'1_Inputs'!$B$25</f>
        <v/>
      </c>
      <c r="C33" s="31">
        <f>'1_Inputs'!$B$24*0.25/'1_Inputs'!$B$25</f>
        <v/>
      </c>
      <c r="D33" s="31">
        <f>'1_Inputs'!$B$24*0.5/'1_Inputs'!$B$25</f>
        <v/>
      </c>
      <c r="E33" s="31">
        <f>'1_Inputs'!$B$24*0.75/'1_Inputs'!$B$25</f>
        <v/>
      </c>
      <c r="F33" s="31">
        <f>'1_Inputs'!$B$24*1.0/'1_Inputs'!$B$25</f>
        <v/>
      </c>
    </row>
    <row r="34">
      <c r="A34" s="27" t="inlineStr">
        <is>
          <t>Gross revenue (member pays)</t>
        </is>
      </c>
      <c r="B34" s="32">
        <f>'1_Inputs'!$B$23</f>
        <v/>
      </c>
      <c r="C34" s="32">
        <f>'1_Inputs'!$B$23</f>
        <v/>
      </c>
      <c r="D34" s="32">
        <f>'1_Inputs'!$B$23</f>
        <v/>
      </c>
      <c r="E34" s="32">
        <f>'1_Inputs'!$B$23</f>
        <v/>
      </c>
      <c r="F34" s="32">
        <f>'1_Inputs'!$B$23</f>
        <v/>
      </c>
    </row>
    <row r="35">
      <c r="A35" s="30" t="inlineStr">
        <is>
          <t>less: creator payout (85% of gross)</t>
        </is>
      </c>
      <c r="B35" s="32">
        <f>-'1_Inputs'!$B$23*'1_Inputs'!$B$31</f>
        <v/>
      </c>
      <c r="C35" s="32">
        <f>-'1_Inputs'!$B$23*'1_Inputs'!$B$31</f>
        <v/>
      </c>
      <c r="D35" s="32">
        <f>-'1_Inputs'!$B$23*'1_Inputs'!$B$31</f>
        <v/>
      </c>
      <c r="E35" s="32">
        <f>-'1_Inputs'!$B$23*'1_Inputs'!$B$31</f>
        <v/>
      </c>
      <c r="F35" s="32">
        <f>-'1_Inputs'!$B$23*'1_Inputs'!$B$31</f>
        <v/>
      </c>
    </row>
    <row r="36">
      <c r="A36" s="30" t="inlineStr">
        <is>
          <t>less: Stripe processing fee</t>
        </is>
      </c>
      <c r="B36" s="32">
        <f>-('1_Inputs'!$B$23*'1_Inputs'!$B$36+'1_Inputs'!$B$37)</f>
        <v/>
      </c>
      <c r="C36" s="32">
        <f>-('1_Inputs'!$B$23*'1_Inputs'!$B$36+'1_Inputs'!$B$37)</f>
        <v/>
      </c>
      <c r="D36" s="32">
        <f>-('1_Inputs'!$B$23*'1_Inputs'!$B$36+'1_Inputs'!$B$37)</f>
        <v/>
      </c>
      <c r="E36" s="32">
        <f>-('1_Inputs'!$B$23*'1_Inputs'!$B$36+'1_Inputs'!$B$37)</f>
        <v/>
      </c>
      <c r="F36" s="32">
        <f>-('1_Inputs'!$B$23*'1_Inputs'!$B$36+'1_Inputs'!$B$37)</f>
        <v/>
      </c>
    </row>
    <row r="37">
      <c r="A37" s="30" t="inlineStr">
        <is>
          <t>less: API + infra cost</t>
        </is>
      </c>
      <c r="B37" s="32">
        <f>-'1_Inputs'!$B$24*0.1*'1_Inputs'!$B$56</f>
        <v/>
      </c>
      <c r="C37" s="32">
        <f>-'1_Inputs'!$B$24*0.25*'1_Inputs'!$B$56</f>
        <v/>
      </c>
      <c r="D37" s="32">
        <f>-'1_Inputs'!$B$24*0.5*'1_Inputs'!$B$56</f>
        <v/>
      </c>
      <c r="E37" s="32">
        <f>-'1_Inputs'!$B$24*0.75*'1_Inputs'!$B$56</f>
        <v/>
      </c>
      <c r="F37" s="32">
        <f>-'1_Inputs'!$B$24*1.0*'1_Inputs'!$B$56</f>
        <v/>
      </c>
    </row>
    <row r="38">
      <c r="A38" s="33">
        <f> PLATFORM NET PER MEMBER / MONTH</f>
        <v/>
      </c>
      <c r="B38" s="34">
        <f>SUM(B34:B37)</f>
        <v/>
      </c>
      <c r="C38" s="34">
        <f>SUM(C34:C37)</f>
        <v/>
      </c>
      <c r="D38" s="34">
        <f>SUM(D34:D37)</f>
        <v/>
      </c>
      <c r="E38" s="34">
        <f>SUM(E34:E37)</f>
        <v/>
      </c>
      <c r="F38" s="34">
        <f>SUM(F34:F37)</f>
        <v/>
      </c>
    </row>
    <row r="39">
      <c r="A39" s="30" t="inlineStr">
        <is>
          <t>Net margin % of revenue</t>
        </is>
      </c>
      <c r="B39" s="35">
        <f>IFERROR(B38/'1_Inputs'!$B$23,0)</f>
        <v/>
      </c>
      <c r="C39" s="35">
        <f>IFERROR(C38/'1_Inputs'!$B$23,0)</f>
        <v/>
      </c>
      <c r="D39" s="35">
        <f>IFERROR(D38/'1_Inputs'!$B$23,0)</f>
        <v/>
      </c>
      <c r="E39" s="35">
        <f>IFERROR(E38/'1_Inputs'!$B$23,0)</f>
        <v/>
      </c>
      <c r="F39" s="35">
        <f>IFERROR(F38/'1_Inputs'!$B$23,0)</f>
        <v/>
      </c>
    </row>
    <row r="40">
      <c r="A40" s="36" t="inlineStr">
        <is>
          <t>BREAK-EVEN utilisation (above this, we lose money)</t>
        </is>
      </c>
      <c r="B40" s="37">
        <f>IFERROR(('1_Inputs'!$B$23*(1-'1_Inputs'!$B$31)-('1_Inputs'!$B$23*'1_Inputs'!$B$36+'1_Inputs'!$B$37))/('1_Inputs'!$B$24*'1_Inputs'!$B$56),0)</f>
        <v/>
      </c>
      <c r="C40" s="38" t="inlineStr">
        <is>
          <t>← what we keep after creator + Stripe, divided by the cost of using every granted credit</t>
        </is>
      </c>
    </row>
    <row r="43">
      <c r="A43" s="4" t="inlineStr">
        <is>
          <t>WHAT THIS SHEET SAYS</t>
        </is>
      </c>
      <c r="B43" s="4" t="n"/>
      <c r="C43" s="4" t="n"/>
      <c r="D43" s="4" t="n"/>
      <c r="E43" s="4" t="n"/>
      <c r="F43" s="4" t="n"/>
    </row>
    <row r="44" ht="88" customHeight="1">
      <c r="A44" s="39" t="inlineStr">
        <is>
          <t>The platform keeps only 15% of membership revenue, but pays 100% of the API cost out of that 15%. So the break-even is not a matter of scale or efficiency — it is arithmetic: API cost must stay under 15% of revenue, minus Stripe. The higher the tier, the more credits are granted per euro, and therefore the WORSE the economics. That is the opposite of how tiers are supposed to work: normally the expensive tier is the profitable one.
Note also what is NOT on this sheet: any cost for the free 20-credit signup grant, support time, or David's own time. Those only make it worse. Sheet 4 works out what would have to change.</t>
        </is>
      </c>
    </row>
  </sheetData>
  <mergeCells count="4">
    <mergeCell ref="C27:F27"/>
    <mergeCell ref="C40:F40"/>
    <mergeCell ref="A44:F44"/>
    <mergeCell ref="C14:F1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showGridLines="0" workbookViewId="0">
      <pane ySplit="4" topLeftCell="A5" activePane="bottomLeft" state="frozen"/>
      <selection pane="bottomLeft" activeCell="A1" sqref="A1"/>
    </sheetView>
  </sheetViews>
  <sheetFormatPr baseColWidth="8" defaultRowHeight="15"/>
  <cols>
    <col width="46" customWidth="1" min="1" max="1"/>
    <col width="16" customWidth="1" min="2" max="2"/>
    <col width="16" customWidth="1" min="3" max="3"/>
    <col width="16" customWidth="1" min="4" max="4"/>
    <col width="52" customWidth="1" min="5" max="5"/>
    <col width="4" customWidth="1" min="6" max="6"/>
  </cols>
  <sheetData>
    <row r="1">
      <c r="A1" s="1" t="inlineStr">
        <is>
          <t>WHAT A CREDIT MUST COST — and the two ways to fix the split</t>
        </is>
      </c>
    </row>
    <row r="2">
      <c r="A2" s="2" t="inlineStr">
        <is>
          <t>Sheet 3 shows the current pricing loses money. This sheet works out by how much, and prices the two structural fixes. Everything here is arithmetic off sheet 1 — no new assumptions are introduced.</t>
        </is>
      </c>
    </row>
    <row r="4">
      <c r="A4" s="4" t="inlineStr">
        <is>
          <t>A. WHAT WE SELL A CREDIT FOR TODAY, VS WHAT IT COSTS</t>
        </is>
      </c>
      <c r="B4" s="4" t="n"/>
      <c r="C4" s="4" t="n"/>
      <c r="D4" s="4" t="n"/>
      <c r="E4" s="4" t="n"/>
    </row>
    <row r="5">
      <c r="A5" s="5" t="inlineStr">
        <is>
          <t>Tier</t>
        </is>
      </c>
      <c r="B5" s="5" t="inlineStr">
        <is>
          <t>Price per credit charged</t>
        </is>
      </c>
      <c r="C5" s="5" t="inlineStr">
        <is>
          <t>Cost per credit</t>
        </is>
      </c>
      <c r="D5" s="5" t="inlineStr">
        <is>
          <t>Sold at … × cost</t>
        </is>
      </c>
      <c r="E5" s="5" t="inlineStr">
        <is>
          <t>Verdict</t>
        </is>
      </c>
    </row>
    <row r="6">
      <c r="A6" s="33" t="inlineStr">
        <is>
          <t>Basic</t>
        </is>
      </c>
      <c r="B6" s="25">
        <f>'1_Inputs'!$B$19/'1_Inputs'!$B$20</f>
        <v/>
      </c>
      <c r="C6" s="25">
        <f>'1_Inputs'!$B$56</f>
        <v/>
      </c>
      <c r="D6" s="40">
        <f>IFERROR(B6/C6,0)</f>
        <v/>
      </c>
      <c r="E6" s="10" t="inlineStr">
        <is>
          <t>Must exceed cost ÷ 15% to survive — see section B. A multiple below that is a structural loss, not a volume problem.</t>
        </is>
      </c>
    </row>
    <row r="7">
      <c r="A7" s="33" t="inlineStr">
        <is>
          <t>Pro</t>
        </is>
      </c>
      <c r="B7" s="25">
        <f>'1_Inputs'!$B$21/'1_Inputs'!$B$22</f>
        <v/>
      </c>
      <c r="C7" s="25">
        <f>'1_Inputs'!$B$56</f>
        <v/>
      </c>
      <c r="D7" s="40">
        <f>IFERROR(B7/C7,0)</f>
        <v/>
      </c>
      <c r="E7" s="10" t="inlineStr">
        <is>
          <t>Must exceed cost ÷ 15% to survive — see section B. A multiple below that is a structural loss, not a volume problem.</t>
        </is>
      </c>
    </row>
    <row r="8">
      <c r="A8" s="33" t="inlineStr">
        <is>
          <t>Professional</t>
        </is>
      </c>
      <c r="B8" s="25">
        <f>'1_Inputs'!$B$23/'1_Inputs'!$B$24</f>
        <v/>
      </c>
      <c r="C8" s="25">
        <f>'1_Inputs'!$B$56</f>
        <v/>
      </c>
      <c r="D8" s="40">
        <f>IFERROR(B8/C8,0)</f>
        <v/>
      </c>
      <c r="E8" s="10" t="inlineStr">
        <is>
          <t>Must exceed cost ÷ 15% to survive — see section B. A multiple below that is a structural loss, not a volume problem.</t>
        </is>
      </c>
    </row>
    <row r="10">
      <c r="A10" s="4" t="inlineStr">
        <is>
          <t>B. THE MINIMUM VIABLE CREDIT PRICE, UNDER THE CURRENT 85/15 SPLIT</t>
        </is>
      </c>
      <c r="B10" s="4" t="n"/>
      <c r="C10" s="4" t="n"/>
      <c r="D10" s="4" t="n"/>
      <c r="E10" s="4" t="n"/>
    </row>
    <row r="11">
      <c r="A11" s="5" t="inlineStr">
        <is>
          <t>Calculation</t>
        </is>
      </c>
      <c r="B11" s="5" t="inlineStr">
        <is>
          <t>Value</t>
        </is>
      </c>
      <c r="C11" s="5" t="inlineStr"/>
      <c r="D11" s="5" t="inlineStr"/>
      <c r="E11" s="5" t="inlineStr">
        <is>
          <t>Explanation</t>
        </is>
      </c>
    </row>
    <row r="12">
      <c r="A12" s="6" t="inlineStr">
        <is>
          <t>Cost per credit</t>
        </is>
      </c>
      <c r="B12" s="25">
        <f>'1_Inputs'!$B$56</f>
        <v/>
      </c>
      <c r="E12" s="10" t="inlineStr">
        <is>
          <t>From sheet 1 — what one credit of usage costs us in API + infra.</t>
        </is>
      </c>
    </row>
    <row r="13">
      <c r="A13" s="6" t="inlineStr">
        <is>
          <t>Share of revenue we keep (platform fee)</t>
        </is>
      </c>
      <c r="B13" s="41">
        <f>'1_Inputs'!$B$30</f>
        <v/>
      </c>
      <c r="E13" s="10" t="inlineStr">
        <is>
          <t>The creator takes the other 85%, calculated on GROSS revenue before any cost is deducted.</t>
        </is>
      </c>
    </row>
    <row r="14">
      <c r="A14" s="6" t="inlineStr">
        <is>
          <t>less: Stripe's percentage fee</t>
        </is>
      </c>
      <c r="B14" s="41">
        <f>'1_Inputs'!$B$36</f>
        <v/>
      </c>
      <c r="E14" s="10" t="inlineStr">
        <is>
          <t>Comes out of our share too. The fixed €0.25 per charge is handled per-tier on sheet 3, since it does not scale with credits.</t>
        </is>
      </c>
    </row>
    <row r="15">
      <c r="A15" s="21" t="inlineStr">
        <is>
          <t>MINIMUM price per credit to break even</t>
        </is>
      </c>
      <c r="B15" s="42">
        <f>IFERROR('1_Inputs'!$B$56/('1_Inputs'!$B$30-'1_Inputs'!$B$36),0)</f>
        <v/>
      </c>
      <c r="E15" s="10" t="inlineStr">
        <is>
          <t>cost ÷ (15% platform fee − 1.5% Stripe) = cost ÷ 13.5%. Below this price, what we keep cannot cover the API bill, at any volume. Scale does not help: the gap widens with every extra call.</t>
        </is>
      </c>
    </row>
    <row r="16">
      <c r="A16" s="6" t="inlineStr">
        <is>
          <t>Professional tier sells credits at</t>
        </is>
      </c>
      <c r="B16" s="25">
        <f>'1_Inputs'!$B$23/'1_Inputs'!$B$24</f>
        <v/>
      </c>
      <c r="E16" s="10" t="inlineStr">
        <is>
          <t>€99 ÷ 8,000 credits — the cheapest credit we sell, and therefore the worst case.</t>
        </is>
      </c>
    </row>
    <row r="17">
      <c r="A17" s="21" t="inlineStr">
        <is>
          <t>Shortfall — how far under the minimum</t>
        </is>
      </c>
      <c r="B17" s="43">
        <f>IFERROR(B15/B16,0)</f>
        <v/>
      </c>
      <c r="E17" s="10" t="inlineStr">
        <is>
          <t>How many times over the current Professional credit price would have to rise, with nothing else changed.</t>
        </is>
      </c>
    </row>
    <row r="19">
      <c r="A19" s="4" t="inlineStr">
        <is>
          <t>C. THE TWO STRUCTURAL FIXES, PRICED</t>
        </is>
      </c>
      <c r="B19" s="4" t="n"/>
      <c r="C19" s="4" t="n"/>
      <c r="D19" s="4" t="n"/>
      <c r="E19" s="4" t="n"/>
    </row>
    <row r="20">
      <c r="A20" s="5" t="inlineStr">
        <is>
          <t>Option</t>
        </is>
      </c>
      <c r="B20" s="5" t="inlineStr">
        <is>
          <t>Platform net per €100 of revenue</t>
        </is>
      </c>
      <c r="C20" s="5" t="inlineStr">
        <is>
          <t>Creator gets</t>
        </is>
      </c>
      <c r="D20" s="5" t="inlineStr">
        <is>
          <t>Feasible?</t>
        </is>
      </c>
      <c r="E20" s="5" t="inlineStr">
        <is>
          <t>What it means in practice</t>
        </is>
      </c>
    </row>
    <row r="21" ht="46" customHeight="1">
      <c r="A21" s="44" t="inlineStr">
        <is>
          <t>Today — creators paid 85% of GROSS revenue</t>
        </is>
      </c>
      <c r="B21" s="34">
        <f>100*'1_Inputs'!$B$30-((100/('1_Inputs'!$B$23/'1_Inputs'!$B$24))*'1_Inputs'!$B$48*'1_Inputs'!$B$56)-(100*'1_Inputs'!$B$36)</f>
        <v/>
      </c>
      <c r="C21" s="45">
        <f>100*'1_Inputs'!$B$31</f>
        <v/>
      </c>
      <c r="D21" s="46" t="inlineStr">
        <is>
          <t>NO</t>
        </is>
      </c>
      <c r="E21" s="10" t="inlineStr">
        <is>
          <t>What the code does today (lib/creator-payouts.ts). We pay the API bill out of our 15%. Negative above the break-even utilisation on sheet 3.</t>
        </is>
      </c>
    </row>
    <row r="22" ht="46" customHeight="1">
      <c r="A22" s="44" t="inlineStr">
        <is>
          <t>Fix 1 — creators paid 85% of NET revenue (after API cost)</t>
        </is>
      </c>
      <c r="B22" s="34">
        <f>(100-((100/('1_Inputs'!$B$23/'1_Inputs'!$B$24))*'1_Inputs'!$B$48*'1_Inputs'!$B$56)-(100*'1_Inputs'!$B$36))*'1_Inputs'!$B$30</f>
        <v/>
      </c>
      <c r="C22" s="45">
        <f>(100-((100/('1_Inputs'!$B$23/'1_Inputs'!$B$24))*'1_Inputs'!$B$48*'1_Inputs'!$B$56)-(100*'1_Inputs'!$B$36))*'1_Inputs'!$B$31</f>
        <v/>
      </c>
      <c r="D22" s="47" t="inlineStr">
        <is>
          <t>YES</t>
        </is>
      </c>
      <c r="E22" s="10" t="inlineStr">
        <is>
          <t>Deduct the API cost of serving the calls before splitting. Cannot go negative, at any utilisation. This is a one-line change in the payout formula and the single highest-leverage fix in this model.</t>
        </is>
      </c>
    </row>
    <row r="23" ht="46" customHeight="1">
      <c r="A23" s="44" t="inlineStr">
        <is>
          <t>Fix 2 — keep 85% of gross, but reprice credits to the sheet-4B minimum</t>
        </is>
      </c>
      <c r="B23" s="34">
        <f>100*'1_Inputs'!$B$30-(100/(IFERROR('1_Inputs'!$B$56/('1_Inputs'!$B$30-'1_Inputs'!$B$36),1)))*'1_Inputs'!$B$48*'1_Inputs'!$B$56-(100*'1_Inputs'!$B$36)</f>
        <v/>
      </c>
      <c r="C23" s="45">
        <f>100*'1_Inputs'!$B$31</f>
        <v/>
      </c>
      <c r="D23" s="47" t="inlineStr">
        <is>
          <t>YES, but</t>
        </is>
      </c>
      <c r="E23" s="10" t="inlineStr">
        <is>
          <t>Keeps the marketing-friendly 85/15 headline, but a Professional membership would buy roughly a fifth of the credits it does today. Harder to sell, and it prices out exactly the heavy users a marketplace needs.</t>
        </is>
      </c>
    </row>
    <row r="26" ht="62" customHeight="1">
      <c r="A26" s="39" t="inlineStr">
        <is>
          <t>Recommendation: Fix 1. Paying creators a share of net rather than gross is what every marketplace with real per-transaction costs does — the 85/15 App Store analogy breaks precisely because Apple has no per-download compute bill. It keeps the creator's incentive identical (they still earn more when their agent is used more), it cannot produce a negative month, and it survives a heavy user. Fix 2 is a fallback if the 85% headline turns out to matter for recruiting creators — but it should be tested, not assumed.</t>
        </is>
      </c>
    </row>
  </sheetData>
  <mergeCells count="1">
    <mergeCell ref="A26:E2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2"/>
  <sheetViews>
    <sheetView showGridLines="0" workbookViewId="0">
      <pane ySplit="4" topLeftCell="A5" activePane="bottomLeft" state="frozen"/>
      <selection pane="bottomLeft" activeCell="A1" sqref="A1"/>
    </sheetView>
  </sheetViews>
  <sheetFormatPr baseColWidth="8" defaultRowHeight="15"/>
  <cols>
    <col width="8" customWidth="1" min="1" max="1"/>
    <col width="15" customWidth="1" min="2" max="2"/>
    <col width="11" customWidth="1" min="3" max="3"/>
    <col width="11" customWidth="1" min="4" max="4"/>
    <col width="12" customWidth="1" min="5" max="5"/>
    <col width="13" customWidth="1" min="6" max="6"/>
    <col width="15" customWidth="1" min="7" max="7"/>
    <col width="16" customWidth="1" min="8" max="8"/>
    <col width="12" customWidth="1" min="9" max="9"/>
    <col width="13" customWidth="1" min="10" max="10"/>
    <col width="12" customWidth="1" min="11" max="11"/>
    <col width="13" customWidth="1" min="12" max="12"/>
    <col width="13" customWidth="1" min="13" max="13"/>
  </cols>
  <sheetData>
    <row r="1">
      <c r="A1" s="1" t="inlineStr">
        <is>
          <t>36-MONTH PROJECTION — scaffolding, not a forecast</t>
        </is>
      </c>
    </row>
    <row r="2">
      <c r="A2" s="2" t="inlineStr">
        <is>
          <t>EVERY growth input behind this sheet is an assumption (yellow on sheet 1). Today the business has 3 registered users and €2.00 of lifetime revenue. This sheet exists to show the SHAPE the model produces and to be re-run against real numbers later — it is not evidence of anything and must not be presented to an investor as a forecast.</t>
        </is>
      </c>
    </row>
    <row r="4">
      <c r="A4" s="5" t="inlineStr">
        <is>
          <t>Month</t>
        </is>
      </c>
      <c r="B4" s="5" t="inlineStr">
        <is>
          <t>New free signups</t>
        </is>
      </c>
      <c r="C4" s="5" t="inlineStr">
        <is>
          <t>New paid</t>
        </is>
      </c>
      <c r="D4" s="5" t="inlineStr">
        <is>
          <t>Churned</t>
        </is>
      </c>
      <c r="E4" s="5" t="inlineStr">
        <is>
          <t>Active paid</t>
        </is>
      </c>
      <c r="F4" s="5" t="inlineStr">
        <is>
          <t>MRR</t>
        </is>
      </c>
      <c r="G4" s="5" t="inlineStr">
        <is>
          <t>Creator payouts</t>
        </is>
      </c>
      <c r="H4" s="5" t="inlineStr">
        <is>
          <t>API + infra COGS</t>
        </is>
      </c>
      <c r="I4" s="5" t="inlineStr">
        <is>
          <t>Stripe fees</t>
        </is>
      </c>
      <c r="J4" s="5" t="inlineStr">
        <is>
          <t>Gross profit</t>
        </is>
      </c>
      <c r="K4" s="5" t="inlineStr">
        <is>
          <t>Fixed costs</t>
        </is>
      </c>
      <c r="L4" s="5" t="inlineStr">
        <is>
          <t>Net profit</t>
        </is>
      </c>
      <c r="M4" s="5" t="inlineStr">
        <is>
          <t>Cumulative</t>
        </is>
      </c>
    </row>
    <row r="5">
      <c r="A5" s="48" t="n">
        <v>1</v>
      </c>
      <c r="B5" s="31">
        <f>'1_Inputs'!$B$42</f>
        <v/>
      </c>
      <c r="C5" s="49">
        <f>B5*'1_Inputs'!$B$43</f>
        <v/>
      </c>
      <c r="D5" s="49">
        <f>'1_Inputs'!$B$41*'1_Inputs'!$B$44</f>
        <v/>
      </c>
      <c r="E5" s="49">
        <f>'1_Inputs'!$B$41+C5-D5</f>
        <v/>
      </c>
      <c r="F5" s="50">
        <f>E5*('1_Inputs'!$B$45*'1_Inputs'!$B$19+'1_Inputs'!$B$46*'1_Inputs'!$B$21+'1_Inputs'!$B$47*'1_Inputs'!$B$23)</f>
        <v/>
      </c>
      <c r="G5" s="50">
        <f>F5*'1_Inputs'!$B$31</f>
        <v/>
      </c>
      <c r="H5" s="50">
        <f>E5*('1_Inputs'!$B$45*'1_Inputs'!$B$20+'1_Inputs'!$B$46*'1_Inputs'!$B$22+'1_Inputs'!$B$47*'1_Inputs'!$B$24)*'1_Inputs'!$B$48*'1_Inputs'!$B$56+B5*'1_Inputs'!$B$57</f>
        <v/>
      </c>
      <c r="I5" s="50">
        <f>F5*'1_Inputs'!$B$36+E5*'1_Inputs'!$B$37</f>
        <v/>
      </c>
      <c r="J5" s="50">
        <f>F5-G5-H5-I5</f>
        <v/>
      </c>
      <c r="K5" s="50">
        <f>'1_Inputs'!$B$49</f>
        <v/>
      </c>
      <c r="L5" s="51">
        <f>J5-K5</f>
        <v/>
      </c>
      <c r="M5" s="51">
        <f>L5</f>
        <v/>
      </c>
    </row>
    <row r="6">
      <c r="A6" s="48" t="n">
        <v>2</v>
      </c>
      <c r="B6" s="31">
        <f>'1_Inputs'!$B$42</f>
        <v/>
      </c>
      <c r="C6" s="49">
        <f>B6*'1_Inputs'!$B$43</f>
        <v/>
      </c>
      <c r="D6" s="49">
        <f>E5*'1_Inputs'!$B$44</f>
        <v/>
      </c>
      <c r="E6" s="49">
        <f>E5+C6-D6</f>
        <v/>
      </c>
      <c r="F6" s="50">
        <f>E6*('1_Inputs'!$B$45*'1_Inputs'!$B$19+'1_Inputs'!$B$46*'1_Inputs'!$B$21+'1_Inputs'!$B$47*'1_Inputs'!$B$23)</f>
        <v/>
      </c>
      <c r="G6" s="50">
        <f>F6*'1_Inputs'!$B$31</f>
        <v/>
      </c>
      <c r="H6" s="50">
        <f>E6*('1_Inputs'!$B$45*'1_Inputs'!$B$20+'1_Inputs'!$B$46*'1_Inputs'!$B$22+'1_Inputs'!$B$47*'1_Inputs'!$B$24)*'1_Inputs'!$B$48*'1_Inputs'!$B$56+B6*'1_Inputs'!$B$57</f>
        <v/>
      </c>
      <c r="I6" s="50">
        <f>F6*'1_Inputs'!$B$36+E6*'1_Inputs'!$B$37</f>
        <v/>
      </c>
      <c r="J6" s="50">
        <f>F6-G6-H6-I6</f>
        <v/>
      </c>
      <c r="K6" s="50">
        <f>'1_Inputs'!$B$49</f>
        <v/>
      </c>
      <c r="L6" s="51">
        <f>J6-K6</f>
        <v/>
      </c>
      <c r="M6" s="51">
        <f>M5+L6</f>
        <v/>
      </c>
    </row>
    <row r="7">
      <c r="A7" s="48" t="n">
        <v>3</v>
      </c>
      <c r="B7" s="31">
        <f>'1_Inputs'!$B$42</f>
        <v/>
      </c>
      <c r="C7" s="49">
        <f>B7*'1_Inputs'!$B$43</f>
        <v/>
      </c>
      <c r="D7" s="49">
        <f>E6*'1_Inputs'!$B$44</f>
        <v/>
      </c>
      <c r="E7" s="49">
        <f>E6+C7-D7</f>
        <v/>
      </c>
      <c r="F7" s="50">
        <f>E7*('1_Inputs'!$B$45*'1_Inputs'!$B$19+'1_Inputs'!$B$46*'1_Inputs'!$B$21+'1_Inputs'!$B$47*'1_Inputs'!$B$23)</f>
        <v/>
      </c>
      <c r="G7" s="50">
        <f>F7*'1_Inputs'!$B$31</f>
        <v/>
      </c>
      <c r="H7" s="50">
        <f>E7*('1_Inputs'!$B$45*'1_Inputs'!$B$20+'1_Inputs'!$B$46*'1_Inputs'!$B$22+'1_Inputs'!$B$47*'1_Inputs'!$B$24)*'1_Inputs'!$B$48*'1_Inputs'!$B$56+B7*'1_Inputs'!$B$57</f>
        <v/>
      </c>
      <c r="I7" s="50">
        <f>F7*'1_Inputs'!$B$36+E7*'1_Inputs'!$B$37</f>
        <v/>
      </c>
      <c r="J7" s="50">
        <f>F7-G7-H7-I7</f>
        <v/>
      </c>
      <c r="K7" s="50">
        <f>'1_Inputs'!$B$49</f>
        <v/>
      </c>
      <c r="L7" s="51">
        <f>J7-K7</f>
        <v/>
      </c>
      <c r="M7" s="51">
        <f>M6+L7</f>
        <v/>
      </c>
    </row>
    <row r="8">
      <c r="A8" s="48" t="n">
        <v>4</v>
      </c>
      <c r="B8" s="31">
        <f>'1_Inputs'!$B$42</f>
        <v/>
      </c>
      <c r="C8" s="49">
        <f>B8*'1_Inputs'!$B$43</f>
        <v/>
      </c>
      <c r="D8" s="49">
        <f>E7*'1_Inputs'!$B$44</f>
        <v/>
      </c>
      <c r="E8" s="49">
        <f>E7+C8-D8</f>
        <v/>
      </c>
      <c r="F8" s="50">
        <f>E8*('1_Inputs'!$B$45*'1_Inputs'!$B$19+'1_Inputs'!$B$46*'1_Inputs'!$B$21+'1_Inputs'!$B$47*'1_Inputs'!$B$23)</f>
        <v/>
      </c>
      <c r="G8" s="50">
        <f>F8*'1_Inputs'!$B$31</f>
        <v/>
      </c>
      <c r="H8" s="50">
        <f>E8*('1_Inputs'!$B$45*'1_Inputs'!$B$20+'1_Inputs'!$B$46*'1_Inputs'!$B$22+'1_Inputs'!$B$47*'1_Inputs'!$B$24)*'1_Inputs'!$B$48*'1_Inputs'!$B$56+B8*'1_Inputs'!$B$57</f>
        <v/>
      </c>
      <c r="I8" s="50">
        <f>F8*'1_Inputs'!$B$36+E8*'1_Inputs'!$B$37</f>
        <v/>
      </c>
      <c r="J8" s="50">
        <f>F8-G8-H8-I8</f>
        <v/>
      </c>
      <c r="K8" s="50">
        <f>'1_Inputs'!$B$49</f>
        <v/>
      </c>
      <c r="L8" s="51">
        <f>J8-K8</f>
        <v/>
      </c>
      <c r="M8" s="51">
        <f>M7+L8</f>
        <v/>
      </c>
    </row>
    <row r="9">
      <c r="A9" s="48" t="n">
        <v>5</v>
      </c>
      <c r="B9" s="31">
        <f>'1_Inputs'!$B$42</f>
        <v/>
      </c>
      <c r="C9" s="49">
        <f>B9*'1_Inputs'!$B$43</f>
        <v/>
      </c>
      <c r="D9" s="49">
        <f>E8*'1_Inputs'!$B$44</f>
        <v/>
      </c>
      <c r="E9" s="49">
        <f>E8+C9-D9</f>
        <v/>
      </c>
      <c r="F9" s="50">
        <f>E9*('1_Inputs'!$B$45*'1_Inputs'!$B$19+'1_Inputs'!$B$46*'1_Inputs'!$B$21+'1_Inputs'!$B$47*'1_Inputs'!$B$23)</f>
        <v/>
      </c>
      <c r="G9" s="50">
        <f>F9*'1_Inputs'!$B$31</f>
        <v/>
      </c>
      <c r="H9" s="50">
        <f>E9*('1_Inputs'!$B$45*'1_Inputs'!$B$20+'1_Inputs'!$B$46*'1_Inputs'!$B$22+'1_Inputs'!$B$47*'1_Inputs'!$B$24)*'1_Inputs'!$B$48*'1_Inputs'!$B$56+B9*'1_Inputs'!$B$57</f>
        <v/>
      </c>
      <c r="I9" s="50">
        <f>F9*'1_Inputs'!$B$36+E9*'1_Inputs'!$B$37</f>
        <v/>
      </c>
      <c r="J9" s="50">
        <f>F9-G9-H9-I9</f>
        <v/>
      </c>
      <c r="K9" s="50">
        <f>'1_Inputs'!$B$49</f>
        <v/>
      </c>
      <c r="L9" s="51">
        <f>J9-K9</f>
        <v/>
      </c>
      <c r="M9" s="51">
        <f>M8+L9</f>
        <v/>
      </c>
    </row>
    <row r="10">
      <c r="A10" s="48" t="n">
        <v>6</v>
      </c>
      <c r="B10" s="31">
        <f>'1_Inputs'!$B$42</f>
        <v/>
      </c>
      <c r="C10" s="49">
        <f>B10*'1_Inputs'!$B$43</f>
        <v/>
      </c>
      <c r="D10" s="49">
        <f>E9*'1_Inputs'!$B$44</f>
        <v/>
      </c>
      <c r="E10" s="49">
        <f>E9+C10-D10</f>
        <v/>
      </c>
      <c r="F10" s="50">
        <f>E10*('1_Inputs'!$B$45*'1_Inputs'!$B$19+'1_Inputs'!$B$46*'1_Inputs'!$B$21+'1_Inputs'!$B$47*'1_Inputs'!$B$23)</f>
        <v/>
      </c>
      <c r="G10" s="50">
        <f>F10*'1_Inputs'!$B$31</f>
        <v/>
      </c>
      <c r="H10" s="50">
        <f>E10*('1_Inputs'!$B$45*'1_Inputs'!$B$20+'1_Inputs'!$B$46*'1_Inputs'!$B$22+'1_Inputs'!$B$47*'1_Inputs'!$B$24)*'1_Inputs'!$B$48*'1_Inputs'!$B$56+B10*'1_Inputs'!$B$57</f>
        <v/>
      </c>
      <c r="I10" s="50">
        <f>F10*'1_Inputs'!$B$36+E10*'1_Inputs'!$B$37</f>
        <v/>
      </c>
      <c r="J10" s="50">
        <f>F10-G10-H10-I10</f>
        <v/>
      </c>
      <c r="K10" s="50">
        <f>'1_Inputs'!$B$49</f>
        <v/>
      </c>
      <c r="L10" s="51">
        <f>J10-K10</f>
        <v/>
      </c>
      <c r="M10" s="51">
        <f>M9+L10</f>
        <v/>
      </c>
    </row>
    <row r="11">
      <c r="A11" s="48" t="n">
        <v>7</v>
      </c>
      <c r="B11" s="31">
        <f>'1_Inputs'!$B$42</f>
        <v/>
      </c>
      <c r="C11" s="49">
        <f>B11*'1_Inputs'!$B$43</f>
        <v/>
      </c>
      <c r="D11" s="49">
        <f>E10*'1_Inputs'!$B$44</f>
        <v/>
      </c>
      <c r="E11" s="49">
        <f>E10+C11-D11</f>
        <v/>
      </c>
      <c r="F11" s="50">
        <f>E11*('1_Inputs'!$B$45*'1_Inputs'!$B$19+'1_Inputs'!$B$46*'1_Inputs'!$B$21+'1_Inputs'!$B$47*'1_Inputs'!$B$23)</f>
        <v/>
      </c>
      <c r="G11" s="50">
        <f>F11*'1_Inputs'!$B$31</f>
        <v/>
      </c>
      <c r="H11" s="50">
        <f>E11*('1_Inputs'!$B$45*'1_Inputs'!$B$20+'1_Inputs'!$B$46*'1_Inputs'!$B$22+'1_Inputs'!$B$47*'1_Inputs'!$B$24)*'1_Inputs'!$B$48*'1_Inputs'!$B$56+B11*'1_Inputs'!$B$57</f>
        <v/>
      </c>
      <c r="I11" s="50">
        <f>F11*'1_Inputs'!$B$36+E11*'1_Inputs'!$B$37</f>
        <v/>
      </c>
      <c r="J11" s="50">
        <f>F11-G11-H11-I11</f>
        <v/>
      </c>
      <c r="K11" s="50">
        <f>'1_Inputs'!$B$49</f>
        <v/>
      </c>
      <c r="L11" s="51">
        <f>J11-K11</f>
        <v/>
      </c>
      <c r="M11" s="51">
        <f>M10+L11</f>
        <v/>
      </c>
    </row>
    <row r="12">
      <c r="A12" s="48" t="n">
        <v>8</v>
      </c>
      <c r="B12" s="31">
        <f>'1_Inputs'!$B$42</f>
        <v/>
      </c>
      <c r="C12" s="49">
        <f>B12*'1_Inputs'!$B$43</f>
        <v/>
      </c>
      <c r="D12" s="49">
        <f>E11*'1_Inputs'!$B$44</f>
        <v/>
      </c>
      <c r="E12" s="49">
        <f>E11+C12-D12</f>
        <v/>
      </c>
      <c r="F12" s="50">
        <f>E12*('1_Inputs'!$B$45*'1_Inputs'!$B$19+'1_Inputs'!$B$46*'1_Inputs'!$B$21+'1_Inputs'!$B$47*'1_Inputs'!$B$23)</f>
        <v/>
      </c>
      <c r="G12" s="50">
        <f>F12*'1_Inputs'!$B$31</f>
        <v/>
      </c>
      <c r="H12" s="50">
        <f>E12*('1_Inputs'!$B$45*'1_Inputs'!$B$20+'1_Inputs'!$B$46*'1_Inputs'!$B$22+'1_Inputs'!$B$47*'1_Inputs'!$B$24)*'1_Inputs'!$B$48*'1_Inputs'!$B$56+B12*'1_Inputs'!$B$57</f>
        <v/>
      </c>
      <c r="I12" s="50">
        <f>F12*'1_Inputs'!$B$36+E12*'1_Inputs'!$B$37</f>
        <v/>
      </c>
      <c r="J12" s="50">
        <f>F12-G12-H12-I12</f>
        <v/>
      </c>
      <c r="K12" s="50">
        <f>'1_Inputs'!$B$49</f>
        <v/>
      </c>
      <c r="L12" s="51">
        <f>J12-K12</f>
        <v/>
      </c>
      <c r="M12" s="51">
        <f>M11+L12</f>
        <v/>
      </c>
    </row>
    <row r="13">
      <c r="A13" s="48" t="n">
        <v>9</v>
      </c>
      <c r="B13" s="31">
        <f>'1_Inputs'!$B$42</f>
        <v/>
      </c>
      <c r="C13" s="49">
        <f>B13*'1_Inputs'!$B$43</f>
        <v/>
      </c>
      <c r="D13" s="49">
        <f>E12*'1_Inputs'!$B$44</f>
        <v/>
      </c>
      <c r="E13" s="49">
        <f>E12+C13-D13</f>
        <v/>
      </c>
      <c r="F13" s="50">
        <f>E13*('1_Inputs'!$B$45*'1_Inputs'!$B$19+'1_Inputs'!$B$46*'1_Inputs'!$B$21+'1_Inputs'!$B$47*'1_Inputs'!$B$23)</f>
        <v/>
      </c>
      <c r="G13" s="50">
        <f>F13*'1_Inputs'!$B$31</f>
        <v/>
      </c>
      <c r="H13" s="50">
        <f>E13*('1_Inputs'!$B$45*'1_Inputs'!$B$20+'1_Inputs'!$B$46*'1_Inputs'!$B$22+'1_Inputs'!$B$47*'1_Inputs'!$B$24)*'1_Inputs'!$B$48*'1_Inputs'!$B$56+B13*'1_Inputs'!$B$57</f>
        <v/>
      </c>
      <c r="I13" s="50">
        <f>F13*'1_Inputs'!$B$36+E13*'1_Inputs'!$B$37</f>
        <v/>
      </c>
      <c r="J13" s="50">
        <f>F13-G13-H13-I13</f>
        <v/>
      </c>
      <c r="K13" s="50">
        <f>'1_Inputs'!$B$49</f>
        <v/>
      </c>
      <c r="L13" s="51">
        <f>J13-K13</f>
        <v/>
      </c>
      <c r="M13" s="51">
        <f>M12+L13</f>
        <v/>
      </c>
    </row>
    <row r="14">
      <c r="A14" s="48" t="n">
        <v>10</v>
      </c>
      <c r="B14" s="31">
        <f>'1_Inputs'!$B$42</f>
        <v/>
      </c>
      <c r="C14" s="49">
        <f>B14*'1_Inputs'!$B$43</f>
        <v/>
      </c>
      <c r="D14" s="49">
        <f>E13*'1_Inputs'!$B$44</f>
        <v/>
      </c>
      <c r="E14" s="49">
        <f>E13+C14-D14</f>
        <v/>
      </c>
      <c r="F14" s="50">
        <f>E14*('1_Inputs'!$B$45*'1_Inputs'!$B$19+'1_Inputs'!$B$46*'1_Inputs'!$B$21+'1_Inputs'!$B$47*'1_Inputs'!$B$23)</f>
        <v/>
      </c>
      <c r="G14" s="50">
        <f>F14*'1_Inputs'!$B$31</f>
        <v/>
      </c>
      <c r="H14" s="50">
        <f>E14*('1_Inputs'!$B$45*'1_Inputs'!$B$20+'1_Inputs'!$B$46*'1_Inputs'!$B$22+'1_Inputs'!$B$47*'1_Inputs'!$B$24)*'1_Inputs'!$B$48*'1_Inputs'!$B$56+B14*'1_Inputs'!$B$57</f>
        <v/>
      </c>
      <c r="I14" s="50">
        <f>F14*'1_Inputs'!$B$36+E14*'1_Inputs'!$B$37</f>
        <v/>
      </c>
      <c r="J14" s="50">
        <f>F14-G14-H14-I14</f>
        <v/>
      </c>
      <c r="K14" s="50">
        <f>'1_Inputs'!$B$49</f>
        <v/>
      </c>
      <c r="L14" s="51">
        <f>J14-K14</f>
        <v/>
      </c>
      <c r="M14" s="51">
        <f>M13+L14</f>
        <v/>
      </c>
    </row>
    <row r="15">
      <c r="A15" s="48" t="n">
        <v>11</v>
      </c>
      <c r="B15" s="31">
        <f>'1_Inputs'!$B$42</f>
        <v/>
      </c>
      <c r="C15" s="49">
        <f>B15*'1_Inputs'!$B$43</f>
        <v/>
      </c>
      <c r="D15" s="49">
        <f>E14*'1_Inputs'!$B$44</f>
        <v/>
      </c>
      <c r="E15" s="49">
        <f>E14+C15-D15</f>
        <v/>
      </c>
      <c r="F15" s="50">
        <f>E15*('1_Inputs'!$B$45*'1_Inputs'!$B$19+'1_Inputs'!$B$46*'1_Inputs'!$B$21+'1_Inputs'!$B$47*'1_Inputs'!$B$23)</f>
        <v/>
      </c>
      <c r="G15" s="50">
        <f>F15*'1_Inputs'!$B$31</f>
        <v/>
      </c>
      <c r="H15" s="50">
        <f>E15*('1_Inputs'!$B$45*'1_Inputs'!$B$20+'1_Inputs'!$B$46*'1_Inputs'!$B$22+'1_Inputs'!$B$47*'1_Inputs'!$B$24)*'1_Inputs'!$B$48*'1_Inputs'!$B$56+B15*'1_Inputs'!$B$57</f>
        <v/>
      </c>
      <c r="I15" s="50">
        <f>F15*'1_Inputs'!$B$36+E15*'1_Inputs'!$B$37</f>
        <v/>
      </c>
      <c r="J15" s="50">
        <f>F15-G15-H15-I15</f>
        <v/>
      </c>
      <c r="K15" s="50">
        <f>'1_Inputs'!$B$49</f>
        <v/>
      </c>
      <c r="L15" s="51">
        <f>J15-K15</f>
        <v/>
      </c>
      <c r="M15" s="51">
        <f>M14+L15</f>
        <v/>
      </c>
    </row>
    <row r="16">
      <c r="A16" s="48" t="n">
        <v>12</v>
      </c>
      <c r="B16" s="31">
        <f>'1_Inputs'!$B$42</f>
        <v/>
      </c>
      <c r="C16" s="49">
        <f>B16*'1_Inputs'!$B$43</f>
        <v/>
      </c>
      <c r="D16" s="49">
        <f>E15*'1_Inputs'!$B$44</f>
        <v/>
      </c>
      <c r="E16" s="49">
        <f>E15+C16-D16</f>
        <v/>
      </c>
      <c r="F16" s="50">
        <f>E16*('1_Inputs'!$B$45*'1_Inputs'!$B$19+'1_Inputs'!$B$46*'1_Inputs'!$B$21+'1_Inputs'!$B$47*'1_Inputs'!$B$23)</f>
        <v/>
      </c>
      <c r="G16" s="50">
        <f>F16*'1_Inputs'!$B$31</f>
        <v/>
      </c>
      <c r="H16" s="50">
        <f>E16*('1_Inputs'!$B$45*'1_Inputs'!$B$20+'1_Inputs'!$B$46*'1_Inputs'!$B$22+'1_Inputs'!$B$47*'1_Inputs'!$B$24)*'1_Inputs'!$B$48*'1_Inputs'!$B$56+B16*'1_Inputs'!$B$57</f>
        <v/>
      </c>
      <c r="I16" s="50">
        <f>F16*'1_Inputs'!$B$36+E16*'1_Inputs'!$B$37</f>
        <v/>
      </c>
      <c r="J16" s="50">
        <f>F16-G16-H16-I16</f>
        <v/>
      </c>
      <c r="K16" s="50">
        <f>'1_Inputs'!$B$49</f>
        <v/>
      </c>
      <c r="L16" s="51">
        <f>J16-K16</f>
        <v/>
      </c>
      <c r="M16" s="51">
        <f>M15+L16</f>
        <v/>
      </c>
    </row>
    <row r="17">
      <c r="A17" s="48" t="n">
        <v>13</v>
      </c>
      <c r="B17" s="31">
        <f>'1_Inputs'!$B$42</f>
        <v/>
      </c>
      <c r="C17" s="49">
        <f>B17*'1_Inputs'!$B$43</f>
        <v/>
      </c>
      <c r="D17" s="49">
        <f>E16*'1_Inputs'!$B$44</f>
        <v/>
      </c>
      <c r="E17" s="49">
        <f>E16+C17-D17</f>
        <v/>
      </c>
      <c r="F17" s="50">
        <f>E17*('1_Inputs'!$B$45*'1_Inputs'!$B$19+'1_Inputs'!$B$46*'1_Inputs'!$B$21+'1_Inputs'!$B$47*'1_Inputs'!$B$23)</f>
        <v/>
      </c>
      <c r="G17" s="50">
        <f>F17*'1_Inputs'!$B$31</f>
        <v/>
      </c>
      <c r="H17" s="50">
        <f>E17*('1_Inputs'!$B$45*'1_Inputs'!$B$20+'1_Inputs'!$B$46*'1_Inputs'!$B$22+'1_Inputs'!$B$47*'1_Inputs'!$B$24)*'1_Inputs'!$B$48*'1_Inputs'!$B$56+B17*'1_Inputs'!$B$57</f>
        <v/>
      </c>
      <c r="I17" s="50">
        <f>F17*'1_Inputs'!$B$36+E17*'1_Inputs'!$B$37</f>
        <v/>
      </c>
      <c r="J17" s="50">
        <f>F17-G17-H17-I17</f>
        <v/>
      </c>
      <c r="K17" s="50">
        <f>'1_Inputs'!$B$49</f>
        <v/>
      </c>
      <c r="L17" s="51">
        <f>J17-K17</f>
        <v/>
      </c>
      <c r="M17" s="51">
        <f>M16+L17</f>
        <v/>
      </c>
    </row>
    <row r="18">
      <c r="A18" s="48" t="n">
        <v>14</v>
      </c>
      <c r="B18" s="31">
        <f>'1_Inputs'!$B$42</f>
        <v/>
      </c>
      <c r="C18" s="49">
        <f>B18*'1_Inputs'!$B$43</f>
        <v/>
      </c>
      <c r="D18" s="49">
        <f>E17*'1_Inputs'!$B$44</f>
        <v/>
      </c>
      <c r="E18" s="49">
        <f>E17+C18-D18</f>
        <v/>
      </c>
      <c r="F18" s="50">
        <f>E18*('1_Inputs'!$B$45*'1_Inputs'!$B$19+'1_Inputs'!$B$46*'1_Inputs'!$B$21+'1_Inputs'!$B$47*'1_Inputs'!$B$23)</f>
        <v/>
      </c>
      <c r="G18" s="50">
        <f>F18*'1_Inputs'!$B$31</f>
        <v/>
      </c>
      <c r="H18" s="50">
        <f>E18*('1_Inputs'!$B$45*'1_Inputs'!$B$20+'1_Inputs'!$B$46*'1_Inputs'!$B$22+'1_Inputs'!$B$47*'1_Inputs'!$B$24)*'1_Inputs'!$B$48*'1_Inputs'!$B$56+B18*'1_Inputs'!$B$57</f>
        <v/>
      </c>
      <c r="I18" s="50">
        <f>F18*'1_Inputs'!$B$36+E18*'1_Inputs'!$B$37</f>
        <v/>
      </c>
      <c r="J18" s="50">
        <f>F18-G18-H18-I18</f>
        <v/>
      </c>
      <c r="K18" s="50">
        <f>'1_Inputs'!$B$49</f>
        <v/>
      </c>
      <c r="L18" s="51">
        <f>J18-K18</f>
        <v/>
      </c>
      <c r="M18" s="51">
        <f>M17+L18</f>
        <v/>
      </c>
    </row>
    <row r="19">
      <c r="A19" s="48" t="n">
        <v>15</v>
      </c>
      <c r="B19" s="31">
        <f>'1_Inputs'!$B$42</f>
        <v/>
      </c>
      <c r="C19" s="49">
        <f>B19*'1_Inputs'!$B$43</f>
        <v/>
      </c>
      <c r="D19" s="49">
        <f>E18*'1_Inputs'!$B$44</f>
        <v/>
      </c>
      <c r="E19" s="49">
        <f>E18+C19-D19</f>
        <v/>
      </c>
      <c r="F19" s="50">
        <f>E19*('1_Inputs'!$B$45*'1_Inputs'!$B$19+'1_Inputs'!$B$46*'1_Inputs'!$B$21+'1_Inputs'!$B$47*'1_Inputs'!$B$23)</f>
        <v/>
      </c>
      <c r="G19" s="50">
        <f>F19*'1_Inputs'!$B$31</f>
        <v/>
      </c>
      <c r="H19" s="50">
        <f>E19*('1_Inputs'!$B$45*'1_Inputs'!$B$20+'1_Inputs'!$B$46*'1_Inputs'!$B$22+'1_Inputs'!$B$47*'1_Inputs'!$B$24)*'1_Inputs'!$B$48*'1_Inputs'!$B$56+B19*'1_Inputs'!$B$57</f>
        <v/>
      </c>
      <c r="I19" s="50">
        <f>F19*'1_Inputs'!$B$36+E19*'1_Inputs'!$B$37</f>
        <v/>
      </c>
      <c r="J19" s="50">
        <f>F19-G19-H19-I19</f>
        <v/>
      </c>
      <c r="K19" s="50">
        <f>'1_Inputs'!$B$49</f>
        <v/>
      </c>
      <c r="L19" s="51">
        <f>J19-K19</f>
        <v/>
      </c>
      <c r="M19" s="51">
        <f>M18+L19</f>
        <v/>
      </c>
    </row>
    <row r="20">
      <c r="A20" s="48" t="n">
        <v>16</v>
      </c>
      <c r="B20" s="31">
        <f>'1_Inputs'!$B$42</f>
        <v/>
      </c>
      <c r="C20" s="49">
        <f>B20*'1_Inputs'!$B$43</f>
        <v/>
      </c>
      <c r="D20" s="49">
        <f>E19*'1_Inputs'!$B$44</f>
        <v/>
      </c>
      <c r="E20" s="49">
        <f>E19+C20-D20</f>
        <v/>
      </c>
      <c r="F20" s="50">
        <f>E20*('1_Inputs'!$B$45*'1_Inputs'!$B$19+'1_Inputs'!$B$46*'1_Inputs'!$B$21+'1_Inputs'!$B$47*'1_Inputs'!$B$23)</f>
        <v/>
      </c>
      <c r="G20" s="50">
        <f>F20*'1_Inputs'!$B$31</f>
        <v/>
      </c>
      <c r="H20" s="50">
        <f>E20*('1_Inputs'!$B$45*'1_Inputs'!$B$20+'1_Inputs'!$B$46*'1_Inputs'!$B$22+'1_Inputs'!$B$47*'1_Inputs'!$B$24)*'1_Inputs'!$B$48*'1_Inputs'!$B$56+B20*'1_Inputs'!$B$57</f>
        <v/>
      </c>
      <c r="I20" s="50">
        <f>F20*'1_Inputs'!$B$36+E20*'1_Inputs'!$B$37</f>
        <v/>
      </c>
      <c r="J20" s="50">
        <f>F20-G20-H20-I20</f>
        <v/>
      </c>
      <c r="K20" s="50">
        <f>'1_Inputs'!$B$49</f>
        <v/>
      </c>
      <c r="L20" s="51">
        <f>J20-K20</f>
        <v/>
      </c>
      <c r="M20" s="51">
        <f>M19+L20</f>
        <v/>
      </c>
    </row>
    <row r="21">
      <c r="A21" s="48" t="n">
        <v>17</v>
      </c>
      <c r="B21" s="31">
        <f>'1_Inputs'!$B$42</f>
        <v/>
      </c>
      <c r="C21" s="49">
        <f>B21*'1_Inputs'!$B$43</f>
        <v/>
      </c>
      <c r="D21" s="49">
        <f>E20*'1_Inputs'!$B$44</f>
        <v/>
      </c>
      <c r="E21" s="49">
        <f>E20+C21-D21</f>
        <v/>
      </c>
      <c r="F21" s="50">
        <f>E21*('1_Inputs'!$B$45*'1_Inputs'!$B$19+'1_Inputs'!$B$46*'1_Inputs'!$B$21+'1_Inputs'!$B$47*'1_Inputs'!$B$23)</f>
        <v/>
      </c>
      <c r="G21" s="50">
        <f>F21*'1_Inputs'!$B$31</f>
        <v/>
      </c>
      <c r="H21" s="50">
        <f>E21*('1_Inputs'!$B$45*'1_Inputs'!$B$20+'1_Inputs'!$B$46*'1_Inputs'!$B$22+'1_Inputs'!$B$47*'1_Inputs'!$B$24)*'1_Inputs'!$B$48*'1_Inputs'!$B$56+B21*'1_Inputs'!$B$57</f>
        <v/>
      </c>
      <c r="I21" s="50">
        <f>F21*'1_Inputs'!$B$36+E21*'1_Inputs'!$B$37</f>
        <v/>
      </c>
      <c r="J21" s="50">
        <f>F21-G21-H21-I21</f>
        <v/>
      </c>
      <c r="K21" s="50">
        <f>'1_Inputs'!$B$49</f>
        <v/>
      </c>
      <c r="L21" s="51">
        <f>J21-K21</f>
        <v/>
      </c>
      <c r="M21" s="51">
        <f>M20+L21</f>
        <v/>
      </c>
    </row>
    <row r="22">
      <c r="A22" s="48" t="n">
        <v>18</v>
      </c>
      <c r="B22" s="31">
        <f>'1_Inputs'!$B$42</f>
        <v/>
      </c>
      <c r="C22" s="49">
        <f>B22*'1_Inputs'!$B$43</f>
        <v/>
      </c>
      <c r="D22" s="49">
        <f>E21*'1_Inputs'!$B$44</f>
        <v/>
      </c>
      <c r="E22" s="49">
        <f>E21+C22-D22</f>
        <v/>
      </c>
      <c r="F22" s="50">
        <f>E22*('1_Inputs'!$B$45*'1_Inputs'!$B$19+'1_Inputs'!$B$46*'1_Inputs'!$B$21+'1_Inputs'!$B$47*'1_Inputs'!$B$23)</f>
        <v/>
      </c>
      <c r="G22" s="50">
        <f>F22*'1_Inputs'!$B$31</f>
        <v/>
      </c>
      <c r="H22" s="50">
        <f>E22*('1_Inputs'!$B$45*'1_Inputs'!$B$20+'1_Inputs'!$B$46*'1_Inputs'!$B$22+'1_Inputs'!$B$47*'1_Inputs'!$B$24)*'1_Inputs'!$B$48*'1_Inputs'!$B$56+B22*'1_Inputs'!$B$57</f>
        <v/>
      </c>
      <c r="I22" s="50">
        <f>F22*'1_Inputs'!$B$36+E22*'1_Inputs'!$B$37</f>
        <v/>
      </c>
      <c r="J22" s="50">
        <f>F22-G22-H22-I22</f>
        <v/>
      </c>
      <c r="K22" s="50">
        <f>'1_Inputs'!$B$49</f>
        <v/>
      </c>
      <c r="L22" s="51">
        <f>J22-K22</f>
        <v/>
      </c>
      <c r="M22" s="51">
        <f>M21+L22</f>
        <v/>
      </c>
    </row>
    <row r="23">
      <c r="A23" s="48" t="n">
        <v>19</v>
      </c>
      <c r="B23" s="31">
        <f>'1_Inputs'!$B$42</f>
        <v/>
      </c>
      <c r="C23" s="49">
        <f>B23*'1_Inputs'!$B$43</f>
        <v/>
      </c>
      <c r="D23" s="49">
        <f>E22*'1_Inputs'!$B$44</f>
        <v/>
      </c>
      <c r="E23" s="49">
        <f>E22+C23-D23</f>
        <v/>
      </c>
      <c r="F23" s="50">
        <f>E23*('1_Inputs'!$B$45*'1_Inputs'!$B$19+'1_Inputs'!$B$46*'1_Inputs'!$B$21+'1_Inputs'!$B$47*'1_Inputs'!$B$23)</f>
        <v/>
      </c>
      <c r="G23" s="50">
        <f>F23*'1_Inputs'!$B$31</f>
        <v/>
      </c>
      <c r="H23" s="50">
        <f>E23*('1_Inputs'!$B$45*'1_Inputs'!$B$20+'1_Inputs'!$B$46*'1_Inputs'!$B$22+'1_Inputs'!$B$47*'1_Inputs'!$B$24)*'1_Inputs'!$B$48*'1_Inputs'!$B$56+B23*'1_Inputs'!$B$57</f>
        <v/>
      </c>
      <c r="I23" s="50">
        <f>F23*'1_Inputs'!$B$36+E23*'1_Inputs'!$B$37</f>
        <v/>
      </c>
      <c r="J23" s="50">
        <f>F23-G23-H23-I23</f>
        <v/>
      </c>
      <c r="K23" s="50">
        <f>'1_Inputs'!$B$49</f>
        <v/>
      </c>
      <c r="L23" s="51">
        <f>J23-K23</f>
        <v/>
      </c>
      <c r="M23" s="51">
        <f>M22+L23</f>
        <v/>
      </c>
    </row>
    <row r="24">
      <c r="A24" s="48" t="n">
        <v>20</v>
      </c>
      <c r="B24" s="31">
        <f>'1_Inputs'!$B$42</f>
        <v/>
      </c>
      <c r="C24" s="49">
        <f>B24*'1_Inputs'!$B$43</f>
        <v/>
      </c>
      <c r="D24" s="49">
        <f>E23*'1_Inputs'!$B$44</f>
        <v/>
      </c>
      <c r="E24" s="49">
        <f>E23+C24-D24</f>
        <v/>
      </c>
      <c r="F24" s="50">
        <f>E24*('1_Inputs'!$B$45*'1_Inputs'!$B$19+'1_Inputs'!$B$46*'1_Inputs'!$B$21+'1_Inputs'!$B$47*'1_Inputs'!$B$23)</f>
        <v/>
      </c>
      <c r="G24" s="50">
        <f>F24*'1_Inputs'!$B$31</f>
        <v/>
      </c>
      <c r="H24" s="50">
        <f>E24*('1_Inputs'!$B$45*'1_Inputs'!$B$20+'1_Inputs'!$B$46*'1_Inputs'!$B$22+'1_Inputs'!$B$47*'1_Inputs'!$B$24)*'1_Inputs'!$B$48*'1_Inputs'!$B$56+B24*'1_Inputs'!$B$57</f>
        <v/>
      </c>
      <c r="I24" s="50">
        <f>F24*'1_Inputs'!$B$36+E24*'1_Inputs'!$B$37</f>
        <v/>
      </c>
      <c r="J24" s="50">
        <f>F24-G24-H24-I24</f>
        <v/>
      </c>
      <c r="K24" s="50">
        <f>'1_Inputs'!$B$49</f>
        <v/>
      </c>
      <c r="L24" s="51">
        <f>J24-K24</f>
        <v/>
      </c>
      <c r="M24" s="51">
        <f>M23+L24</f>
        <v/>
      </c>
    </row>
    <row r="25">
      <c r="A25" s="48" t="n">
        <v>21</v>
      </c>
      <c r="B25" s="31">
        <f>'1_Inputs'!$B$42</f>
        <v/>
      </c>
      <c r="C25" s="49">
        <f>B25*'1_Inputs'!$B$43</f>
        <v/>
      </c>
      <c r="D25" s="49">
        <f>E24*'1_Inputs'!$B$44</f>
        <v/>
      </c>
      <c r="E25" s="49">
        <f>E24+C25-D25</f>
        <v/>
      </c>
      <c r="F25" s="50">
        <f>E25*('1_Inputs'!$B$45*'1_Inputs'!$B$19+'1_Inputs'!$B$46*'1_Inputs'!$B$21+'1_Inputs'!$B$47*'1_Inputs'!$B$23)</f>
        <v/>
      </c>
      <c r="G25" s="50">
        <f>F25*'1_Inputs'!$B$31</f>
        <v/>
      </c>
      <c r="H25" s="50">
        <f>E25*('1_Inputs'!$B$45*'1_Inputs'!$B$20+'1_Inputs'!$B$46*'1_Inputs'!$B$22+'1_Inputs'!$B$47*'1_Inputs'!$B$24)*'1_Inputs'!$B$48*'1_Inputs'!$B$56+B25*'1_Inputs'!$B$57</f>
        <v/>
      </c>
      <c r="I25" s="50">
        <f>F25*'1_Inputs'!$B$36+E25*'1_Inputs'!$B$37</f>
        <v/>
      </c>
      <c r="J25" s="50">
        <f>F25-G25-H25-I25</f>
        <v/>
      </c>
      <c r="K25" s="50">
        <f>'1_Inputs'!$B$49</f>
        <v/>
      </c>
      <c r="L25" s="51">
        <f>J25-K25</f>
        <v/>
      </c>
      <c r="M25" s="51">
        <f>M24+L25</f>
        <v/>
      </c>
    </row>
    <row r="26">
      <c r="A26" s="48" t="n">
        <v>22</v>
      </c>
      <c r="B26" s="31">
        <f>'1_Inputs'!$B$42</f>
        <v/>
      </c>
      <c r="C26" s="49">
        <f>B26*'1_Inputs'!$B$43</f>
        <v/>
      </c>
      <c r="D26" s="49">
        <f>E25*'1_Inputs'!$B$44</f>
        <v/>
      </c>
      <c r="E26" s="49">
        <f>E25+C26-D26</f>
        <v/>
      </c>
      <c r="F26" s="50">
        <f>E26*('1_Inputs'!$B$45*'1_Inputs'!$B$19+'1_Inputs'!$B$46*'1_Inputs'!$B$21+'1_Inputs'!$B$47*'1_Inputs'!$B$23)</f>
        <v/>
      </c>
      <c r="G26" s="50">
        <f>F26*'1_Inputs'!$B$31</f>
        <v/>
      </c>
      <c r="H26" s="50">
        <f>E26*('1_Inputs'!$B$45*'1_Inputs'!$B$20+'1_Inputs'!$B$46*'1_Inputs'!$B$22+'1_Inputs'!$B$47*'1_Inputs'!$B$24)*'1_Inputs'!$B$48*'1_Inputs'!$B$56+B26*'1_Inputs'!$B$57</f>
        <v/>
      </c>
      <c r="I26" s="50">
        <f>F26*'1_Inputs'!$B$36+E26*'1_Inputs'!$B$37</f>
        <v/>
      </c>
      <c r="J26" s="50">
        <f>F26-G26-H26-I26</f>
        <v/>
      </c>
      <c r="K26" s="50">
        <f>'1_Inputs'!$B$49</f>
        <v/>
      </c>
      <c r="L26" s="51">
        <f>J26-K26</f>
        <v/>
      </c>
      <c r="M26" s="51">
        <f>M25+L26</f>
        <v/>
      </c>
    </row>
    <row r="27">
      <c r="A27" s="48" t="n">
        <v>23</v>
      </c>
      <c r="B27" s="31">
        <f>'1_Inputs'!$B$42</f>
        <v/>
      </c>
      <c r="C27" s="49">
        <f>B27*'1_Inputs'!$B$43</f>
        <v/>
      </c>
      <c r="D27" s="49">
        <f>E26*'1_Inputs'!$B$44</f>
        <v/>
      </c>
      <c r="E27" s="49">
        <f>E26+C27-D27</f>
        <v/>
      </c>
      <c r="F27" s="50">
        <f>E27*('1_Inputs'!$B$45*'1_Inputs'!$B$19+'1_Inputs'!$B$46*'1_Inputs'!$B$21+'1_Inputs'!$B$47*'1_Inputs'!$B$23)</f>
        <v/>
      </c>
      <c r="G27" s="50">
        <f>F27*'1_Inputs'!$B$31</f>
        <v/>
      </c>
      <c r="H27" s="50">
        <f>E27*('1_Inputs'!$B$45*'1_Inputs'!$B$20+'1_Inputs'!$B$46*'1_Inputs'!$B$22+'1_Inputs'!$B$47*'1_Inputs'!$B$24)*'1_Inputs'!$B$48*'1_Inputs'!$B$56+B27*'1_Inputs'!$B$57</f>
        <v/>
      </c>
      <c r="I27" s="50">
        <f>F27*'1_Inputs'!$B$36+E27*'1_Inputs'!$B$37</f>
        <v/>
      </c>
      <c r="J27" s="50">
        <f>F27-G27-H27-I27</f>
        <v/>
      </c>
      <c r="K27" s="50">
        <f>'1_Inputs'!$B$49</f>
        <v/>
      </c>
      <c r="L27" s="51">
        <f>J27-K27</f>
        <v/>
      </c>
      <c r="M27" s="51">
        <f>M26+L27</f>
        <v/>
      </c>
    </row>
    <row r="28">
      <c r="A28" s="48" t="n">
        <v>24</v>
      </c>
      <c r="B28" s="31">
        <f>'1_Inputs'!$B$42</f>
        <v/>
      </c>
      <c r="C28" s="49">
        <f>B28*'1_Inputs'!$B$43</f>
        <v/>
      </c>
      <c r="D28" s="49">
        <f>E27*'1_Inputs'!$B$44</f>
        <v/>
      </c>
      <c r="E28" s="49">
        <f>E27+C28-D28</f>
        <v/>
      </c>
      <c r="F28" s="50">
        <f>E28*('1_Inputs'!$B$45*'1_Inputs'!$B$19+'1_Inputs'!$B$46*'1_Inputs'!$B$21+'1_Inputs'!$B$47*'1_Inputs'!$B$23)</f>
        <v/>
      </c>
      <c r="G28" s="50">
        <f>F28*'1_Inputs'!$B$31</f>
        <v/>
      </c>
      <c r="H28" s="50">
        <f>E28*('1_Inputs'!$B$45*'1_Inputs'!$B$20+'1_Inputs'!$B$46*'1_Inputs'!$B$22+'1_Inputs'!$B$47*'1_Inputs'!$B$24)*'1_Inputs'!$B$48*'1_Inputs'!$B$56+B28*'1_Inputs'!$B$57</f>
        <v/>
      </c>
      <c r="I28" s="50">
        <f>F28*'1_Inputs'!$B$36+E28*'1_Inputs'!$B$37</f>
        <v/>
      </c>
      <c r="J28" s="50">
        <f>F28-G28-H28-I28</f>
        <v/>
      </c>
      <c r="K28" s="50">
        <f>'1_Inputs'!$B$49</f>
        <v/>
      </c>
      <c r="L28" s="51">
        <f>J28-K28</f>
        <v/>
      </c>
      <c r="M28" s="51">
        <f>M27+L28</f>
        <v/>
      </c>
    </row>
    <row r="29">
      <c r="A29" s="48" t="n">
        <v>25</v>
      </c>
      <c r="B29" s="31">
        <f>'1_Inputs'!$B$42</f>
        <v/>
      </c>
      <c r="C29" s="49">
        <f>B29*'1_Inputs'!$B$43</f>
        <v/>
      </c>
      <c r="D29" s="49">
        <f>E28*'1_Inputs'!$B$44</f>
        <v/>
      </c>
      <c r="E29" s="49">
        <f>E28+C29-D29</f>
        <v/>
      </c>
      <c r="F29" s="50">
        <f>E29*('1_Inputs'!$B$45*'1_Inputs'!$B$19+'1_Inputs'!$B$46*'1_Inputs'!$B$21+'1_Inputs'!$B$47*'1_Inputs'!$B$23)</f>
        <v/>
      </c>
      <c r="G29" s="50">
        <f>F29*'1_Inputs'!$B$31</f>
        <v/>
      </c>
      <c r="H29" s="50">
        <f>E29*('1_Inputs'!$B$45*'1_Inputs'!$B$20+'1_Inputs'!$B$46*'1_Inputs'!$B$22+'1_Inputs'!$B$47*'1_Inputs'!$B$24)*'1_Inputs'!$B$48*'1_Inputs'!$B$56+B29*'1_Inputs'!$B$57</f>
        <v/>
      </c>
      <c r="I29" s="50">
        <f>F29*'1_Inputs'!$B$36+E29*'1_Inputs'!$B$37</f>
        <v/>
      </c>
      <c r="J29" s="50">
        <f>F29-G29-H29-I29</f>
        <v/>
      </c>
      <c r="K29" s="50">
        <f>'1_Inputs'!$B$49</f>
        <v/>
      </c>
      <c r="L29" s="51">
        <f>J29-K29</f>
        <v/>
      </c>
      <c r="M29" s="51">
        <f>M28+L29</f>
        <v/>
      </c>
    </row>
    <row r="30">
      <c r="A30" s="48" t="n">
        <v>26</v>
      </c>
      <c r="B30" s="31">
        <f>'1_Inputs'!$B$42</f>
        <v/>
      </c>
      <c r="C30" s="49">
        <f>B30*'1_Inputs'!$B$43</f>
        <v/>
      </c>
      <c r="D30" s="49">
        <f>E29*'1_Inputs'!$B$44</f>
        <v/>
      </c>
      <c r="E30" s="49">
        <f>E29+C30-D30</f>
        <v/>
      </c>
      <c r="F30" s="50">
        <f>E30*('1_Inputs'!$B$45*'1_Inputs'!$B$19+'1_Inputs'!$B$46*'1_Inputs'!$B$21+'1_Inputs'!$B$47*'1_Inputs'!$B$23)</f>
        <v/>
      </c>
      <c r="G30" s="50">
        <f>F30*'1_Inputs'!$B$31</f>
        <v/>
      </c>
      <c r="H30" s="50">
        <f>E30*('1_Inputs'!$B$45*'1_Inputs'!$B$20+'1_Inputs'!$B$46*'1_Inputs'!$B$22+'1_Inputs'!$B$47*'1_Inputs'!$B$24)*'1_Inputs'!$B$48*'1_Inputs'!$B$56+B30*'1_Inputs'!$B$57</f>
        <v/>
      </c>
      <c r="I30" s="50">
        <f>F30*'1_Inputs'!$B$36+E30*'1_Inputs'!$B$37</f>
        <v/>
      </c>
      <c r="J30" s="50">
        <f>F30-G30-H30-I30</f>
        <v/>
      </c>
      <c r="K30" s="50">
        <f>'1_Inputs'!$B$49</f>
        <v/>
      </c>
      <c r="L30" s="51">
        <f>J30-K30</f>
        <v/>
      </c>
      <c r="M30" s="51">
        <f>M29+L30</f>
        <v/>
      </c>
    </row>
    <row r="31">
      <c r="A31" s="48" t="n">
        <v>27</v>
      </c>
      <c r="B31" s="31">
        <f>'1_Inputs'!$B$42</f>
        <v/>
      </c>
      <c r="C31" s="49">
        <f>B31*'1_Inputs'!$B$43</f>
        <v/>
      </c>
      <c r="D31" s="49">
        <f>E30*'1_Inputs'!$B$44</f>
        <v/>
      </c>
      <c r="E31" s="49">
        <f>E30+C31-D31</f>
        <v/>
      </c>
      <c r="F31" s="50">
        <f>E31*('1_Inputs'!$B$45*'1_Inputs'!$B$19+'1_Inputs'!$B$46*'1_Inputs'!$B$21+'1_Inputs'!$B$47*'1_Inputs'!$B$23)</f>
        <v/>
      </c>
      <c r="G31" s="50">
        <f>F31*'1_Inputs'!$B$31</f>
        <v/>
      </c>
      <c r="H31" s="50">
        <f>E31*('1_Inputs'!$B$45*'1_Inputs'!$B$20+'1_Inputs'!$B$46*'1_Inputs'!$B$22+'1_Inputs'!$B$47*'1_Inputs'!$B$24)*'1_Inputs'!$B$48*'1_Inputs'!$B$56+B31*'1_Inputs'!$B$57</f>
        <v/>
      </c>
      <c r="I31" s="50">
        <f>F31*'1_Inputs'!$B$36+E31*'1_Inputs'!$B$37</f>
        <v/>
      </c>
      <c r="J31" s="50">
        <f>F31-G31-H31-I31</f>
        <v/>
      </c>
      <c r="K31" s="50">
        <f>'1_Inputs'!$B$49</f>
        <v/>
      </c>
      <c r="L31" s="51">
        <f>J31-K31</f>
        <v/>
      </c>
      <c r="M31" s="51">
        <f>M30+L31</f>
        <v/>
      </c>
    </row>
    <row r="32">
      <c r="A32" s="48" t="n">
        <v>28</v>
      </c>
      <c r="B32" s="31">
        <f>'1_Inputs'!$B$42</f>
        <v/>
      </c>
      <c r="C32" s="49">
        <f>B32*'1_Inputs'!$B$43</f>
        <v/>
      </c>
      <c r="D32" s="49">
        <f>E31*'1_Inputs'!$B$44</f>
        <v/>
      </c>
      <c r="E32" s="49">
        <f>E31+C32-D32</f>
        <v/>
      </c>
      <c r="F32" s="50">
        <f>E32*('1_Inputs'!$B$45*'1_Inputs'!$B$19+'1_Inputs'!$B$46*'1_Inputs'!$B$21+'1_Inputs'!$B$47*'1_Inputs'!$B$23)</f>
        <v/>
      </c>
      <c r="G32" s="50">
        <f>F32*'1_Inputs'!$B$31</f>
        <v/>
      </c>
      <c r="H32" s="50">
        <f>E32*('1_Inputs'!$B$45*'1_Inputs'!$B$20+'1_Inputs'!$B$46*'1_Inputs'!$B$22+'1_Inputs'!$B$47*'1_Inputs'!$B$24)*'1_Inputs'!$B$48*'1_Inputs'!$B$56+B32*'1_Inputs'!$B$57</f>
        <v/>
      </c>
      <c r="I32" s="50">
        <f>F32*'1_Inputs'!$B$36+E32*'1_Inputs'!$B$37</f>
        <v/>
      </c>
      <c r="J32" s="50">
        <f>F32-G32-H32-I32</f>
        <v/>
      </c>
      <c r="K32" s="50">
        <f>'1_Inputs'!$B$49</f>
        <v/>
      </c>
      <c r="L32" s="51">
        <f>J32-K32</f>
        <v/>
      </c>
      <c r="M32" s="51">
        <f>M31+L32</f>
        <v/>
      </c>
    </row>
    <row r="33">
      <c r="A33" s="48" t="n">
        <v>29</v>
      </c>
      <c r="B33" s="31">
        <f>'1_Inputs'!$B$42</f>
        <v/>
      </c>
      <c r="C33" s="49">
        <f>B33*'1_Inputs'!$B$43</f>
        <v/>
      </c>
      <c r="D33" s="49">
        <f>E32*'1_Inputs'!$B$44</f>
        <v/>
      </c>
      <c r="E33" s="49">
        <f>E32+C33-D33</f>
        <v/>
      </c>
      <c r="F33" s="50">
        <f>E33*('1_Inputs'!$B$45*'1_Inputs'!$B$19+'1_Inputs'!$B$46*'1_Inputs'!$B$21+'1_Inputs'!$B$47*'1_Inputs'!$B$23)</f>
        <v/>
      </c>
      <c r="G33" s="50">
        <f>F33*'1_Inputs'!$B$31</f>
        <v/>
      </c>
      <c r="H33" s="50">
        <f>E33*('1_Inputs'!$B$45*'1_Inputs'!$B$20+'1_Inputs'!$B$46*'1_Inputs'!$B$22+'1_Inputs'!$B$47*'1_Inputs'!$B$24)*'1_Inputs'!$B$48*'1_Inputs'!$B$56+B33*'1_Inputs'!$B$57</f>
        <v/>
      </c>
      <c r="I33" s="50">
        <f>F33*'1_Inputs'!$B$36+E33*'1_Inputs'!$B$37</f>
        <v/>
      </c>
      <c r="J33" s="50">
        <f>F33-G33-H33-I33</f>
        <v/>
      </c>
      <c r="K33" s="50">
        <f>'1_Inputs'!$B$49</f>
        <v/>
      </c>
      <c r="L33" s="51">
        <f>J33-K33</f>
        <v/>
      </c>
      <c r="M33" s="51">
        <f>M32+L33</f>
        <v/>
      </c>
    </row>
    <row r="34">
      <c r="A34" s="48" t="n">
        <v>30</v>
      </c>
      <c r="B34" s="31">
        <f>'1_Inputs'!$B$42</f>
        <v/>
      </c>
      <c r="C34" s="49">
        <f>B34*'1_Inputs'!$B$43</f>
        <v/>
      </c>
      <c r="D34" s="49">
        <f>E33*'1_Inputs'!$B$44</f>
        <v/>
      </c>
      <c r="E34" s="49">
        <f>E33+C34-D34</f>
        <v/>
      </c>
      <c r="F34" s="50">
        <f>E34*('1_Inputs'!$B$45*'1_Inputs'!$B$19+'1_Inputs'!$B$46*'1_Inputs'!$B$21+'1_Inputs'!$B$47*'1_Inputs'!$B$23)</f>
        <v/>
      </c>
      <c r="G34" s="50">
        <f>F34*'1_Inputs'!$B$31</f>
        <v/>
      </c>
      <c r="H34" s="50">
        <f>E34*('1_Inputs'!$B$45*'1_Inputs'!$B$20+'1_Inputs'!$B$46*'1_Inputs'!$B$22+'1_Inputs'!$B$47*'1_Inputs'!$B$24)*'1_Inputs'!$B$48*'1_Inputs'!$B$56+B34*'1_Inputs'!$B$57</f>
        <v/>
      </c>
      <c r="I34" s="50">
        <f>F34*'1_Inputs'!$B$36+E34*'1_Inputs'!$B$37</f>
        <v/>
      </c>
      <c r="J34" s="50">
        <f>F34-G34-H34-I34</f>
        <v/>
      </c>
      <c r="K34" s="50">
        <f>'1_Inputs'!$B$49</f>
        <v/>
      </c>
      <c r="L34" s="51">
        <f>J34-K34</f>
        <v/>
      </c>
      <c r="M34" s="51">
        <f>M33+L34</f>
        <v/>
      </c>
    </row>
    <row r="35">
      <c r="A35" s="48" t="n">
        <v>31</v>
      </c>
      <c r="B35" s="31">
        <f>'1_Inputs'!$B$42</f>
        <v/>
      </c>
      <c r="C35" s="49">
        <f>B35*'1_Inputs'!$B$43</f>
        <v/>
      </c>
      <c r="D35" s="49">
        <f>E34*'1_Inputs'!$B$44</f>
        <v/>
      </c>
      <c r="E35" s="49">
        <f>E34+C35-D35</f>
        <v/>
      </c>
      <c r="F35" s="50">
        <f>E35*('1_Inputs'!$B$45*'1_Inputs'!$B$19+'1_Inputs'!$B$46*'1_Inputs'!$B$21+'1_Inputs'!$B$47*'1_Inputs'!$B$23)</f>
        <v/>
      </c>
      <c r="G35" s="50">
        <f>F35*'1_Inputs'!$B$31</f>
        <v/>
      </c>
      <c r="H35" s="50">
        <f>E35*('1_Inputs'!$B$45*'1_Inputs'!$B$20+'1_Inputs'!$B$46*'1_Inputs'!$B$22+'1_Inputs'!$B$47*'1_Inputs'!$B$24)*'1_Inputs'!$B$48*'1_Inputs'!$B$56+B35*'1_Inputs'!$B$57</f>
        <v/>
      </c>
      <c r="I35" s="50">
        <f>F35*'1_Inputs'!$B$36+E35*'1_Inputs'!$B$37</f>
        <v/>
      </c>
      <c r="J35" s="50">
        <f>F35-G35-H35-I35</f>
        <v/>
      </c>
      <c r="K35" s="50">
        <f>'1_Inputs'!$B$49</f>
        <v/>
      </c>
      <c r="L35" s="51">
        <f>J35-K35</f>
        <v/>
      </c>
      <c r="M35" s="51">
        <f>M34+L35</f>
        <v/>
      </c>
    </row>
    <row r="36">
      <c r="A36" s="48" t="n">
        <v>32</v>
      </c>
      <c r="B36" s="31">
        <f>'1_Inputs'!$B$42</f>
        <v/>
      </c>
      <c r="C36" s="49">
        <f>B36*'1_Inputs'!$B$43</f>
        <v/>
      </c>
      <c r="D36" s="49">
        <f>E35*'1_Inputs'!$B$44</f>
        <v/>
      </c>
      <c r="E36" s="49">
        <f>E35+C36-D36</f>
        <v/>
      </c>
      <c r="F36" s="50">
        <f>E36*('1_Inputs'!$B$45*'1_Inputs'!$B$19+'1_Inputs'!$B$46*'1_Inputs'!$B$21+'1_Inputs'!$B$47*'1_Inputs'!$B$23)</f>
        <v/>
      </c>
      <c r="G36" s="50">
        <f>F36*'1_Inputs'!$B$31</f>
        <v/>
      </c>
      <c r="H36" s="50">
        <f>E36*('1_Inputs'!$B$45*'1_Inputs'!$B$20+'1_Inputs'!$B$46*'1_Inputs'!$B$22+'1_Inputs'!$B$47*'1_Inputs'!$B$24)*'1_Inputs'!$B$48*'1_Inputs'!$B$56+B36*'1_Inputs'!$B$57</f>
        <v/>
      </c>
      <c r="I36" s="50">
        <f>F36*'1_Inputs'!$B$36+E36*'1_Inputs'!$B$37</f>
        <v/>
      </c>
      <c r="J36" s="50">
        <f>F36-G36-H36-I36</f>
        <v/>
      </c>
      <c r="K36" s="50">
        <f>'1_Inputs'!$B$49</f>
        <v/>
      </c>
      <c r="L36" s="51">
        <f>J36-K36</f>
        <v/>
      </c>
      <c r="M36" s="51">
        <f>M35+L36</f>
        <v/>
      </c>
    </row>
    <row r="37">
      <c r="A37" s="48" t="n">
        <v>33</v>
      </c>
      <c r="B37" s="31">
        <f>'1_Inputs'!$B$42</f>
        <v/>
      </c>
      <c r="C37" s="49">
        <f>B37*'1_Inputs'!$B$43</f>
        <v/>
      </c>
      <c r="D37" s="49">
        <f>E36*'1_Inputs'!$B$44</f>
        <v/>
      </c>
      <c r="E37" s="49">
        <f>E36+C37-D37</f>
        <v/>
      </c>
      <c r="F37" s="50">
        <f>E37*('1_Inputs'!$B$45*'1_Inputs'!$B$19+'1_Inputs'!$B$46*'1_Inputs'!$B$21+'1_Inputs'!$B$47*'1_Inputs'!$B$23)</f>
        <v/>
      </c>
      <c r="G37" s="50">
        <f>F37*'1_Inputs'!$B$31</f>
        <v/>
      </c>
      <c r="H37" s="50">
        <f>E37*('1_Inputs'!$B$45*'1_Inputs'!$B$20+'1_Inputs'!$B$46*'1_Inputs'!$B$22+'1_Inputs'!$B$47*'1_Inputs'!$B$24)*'1_Inputs'!$B$48*'1_Inputs'!$B$56+B37*'1_Inputs'!$B$57</f>
        <v/>
      </c>
      <c r="I37" s="50">
        <f>F37*'1_Inputs'!$B$36+E37*'1_Inputs'!$B$37</f>
        <v/>
      </c>
      <c r="J37" s="50">
        <f>F37-G37-H37-I37</f>
        <v/>
      </c>
      <c r="K37" s="50">
        <f>'1_Inputs'!$B$49</f>
        <v/>
      </c>
      <c r="L37" s="51">
        <f>J37-K37</f>
        <v/>
      </c>
      <c r="M37" s="51">
        <f>M36+L37</f>
        <v/>
      </c>
    </row>
    <row r="38">
      <c r="A38" s="48" t="n">
        <v>34</v>
      </c>
      <c r="B38" s="31">
        <f>'1_Inputs'!$B$42</f>
        <v/>
      </c>
      <c r="C38" s="49">
        <f>B38*'1_Inputs'!$B$43</f>
        <v/>
      </c>
      <c r="D38" s="49">
        <f>E37*'1_Inputs'!$B$44</f>
        <v/>
      </c>
      <c r="E38" s="49">
        <f>E37+C38-D38</f>
        <v/>
      </c>
      <c r="F38" s="50">
        <f>E38*('1_Inputs'!$B$45*'1_Inputs'!$B$19+'1_Inputs'!$B$46*'1_Inputs'!$B$21+'1_Inputs'!$B$47*'1_Inputs'!$B$23)</f>
        <v/>
      </c>
      <c r="G38" s="50">
        <f>F38*'1_Inputs'!$B$31</f>
        <v/>
      </c>
      <c r="H38" s="50">
        <f>E38*('1_Inputs'!$B$45*'1_Inputs'!$B$20+'1_Inputs'!$B$46*'1_Inputs'!$B$22+'1_Inputs'!$B$47*'1_Inputs'!$B$24)*'1_Inputs'!$B$48*'1_Inputs'!$B$56+B38*'1_Inputs'!$B$57</f>
        <v/>
      </c>
      <c r="I38" s="50">
        <f>F38*'1_Inputs'!$B$36+E38*'1_Inputs'!$B$37</f>
        <v/>
      </c>
      <c r="J38" s="50">
        <f>F38-G38-H38-I38</f>
        <v/>
      </c>
      <c r="K38" s="50">
        <f>'1_Inputs'!$B$49</f>
        <v/>
      </c>
      <c r="L38" s="51">
        <f>J38-K38</f>
        <v/>
      </c>
      <c r="M38" s="51">
        <f>M37+L38</f>
        <v/>
      </c>
    </row>
    <row r="39">
      <c r="A39" s="48" t="n">
        <v>35</v>
      </c>
      <c r="B39" s="31">
        <f>'1_Inputs'!$B$42</f>
        <v/>
      </c>
      <c r="C39" s="49">
        <f>B39*'1_Inputs'!$B$43</f>
        <v/>
      </c>
      <c r="D39" s="49">
        <f>E38*'1_Inputs'!$B$44</f>
        <v/>
      </c>
      <c r="E39" s="49">
        <f>E38+C39-D39</f>
        <v/>
      </c>
      <c r="F39" s="50">
        <f>E39*('1_Inputs'!$B$45*'1_Inputs'!$B$19+'1_Inputs'!$B$46*'1_Inputs'!$B$21+'1_Inputs'!$B$47*'1_Inputs'!$B$23)</f>
        <v/>
      </c>
      <c r="G39" s="50">
        <f>F39*'1_Inputs'!$B$31</f>
        <v/>
      </c>
      <c r="H39" s="50">
        <f>E39*('1_Inputs'!$B$45*'1_Inputs'!$B$20+'1_Inputs'!$B$46*'1_Inputs'!$B$22+'1_Inputs'!$B$47*'1_Inputs'!$B$24)*'1_Inputs'!$B$48*'1_Inputs'!$B$56+B39*'1_Inputs'!$B$57</f>
        <v/>
      </c>
      <c r="I39" s="50">
        <f>F39*'1_Inputs'!$B$36+E39*'1_Inputs'!$B$37</f>
        <v/>
      </c>
      <c r="J39" s="50">
        <f>F39-G39-H39-I39</f>
        <v/>
      </c>
      <c r="K39" s="50">
        <f>'1_Inputs'!$B$49</f>
        <v/>
      </c>
      <c r="L39" s="51">
        <f>J39-K39</f>
        <v/>
      </c>
      <c r="M39" s="51">
        <f>M38+L39</f>
        <v/>
      </c>
    </row>
    <row r="40">
      <c r="A40" s="48" t="n">
        <v>36</v>
      </c>
      <c r="B40" s="31">
        <f>'1_Inputs'!$B$42</f>
        <v/>
      </c>
      <c r="C40" s="49">
        <f>B40*'1_Inputs'!$B$43</f>
        <v/>
      </c>
      <c r="D40" s="49">
        <f>E39*'1_Inputs'!$B$44</f>
        <v/>
      </c>
      <c r="E40" s="49">
        <f>E39+C40-D40</f>
        <v/>
      </c>
      <c r="F40" s="50">
        <f>E40*('1_Inputs'!$B$45*'1_Inputs'!$B$19+'1_Inputs'!$B$46*'1_Inputs'!$B$21+'1_Inputs'!$B$47*'1_Inputs'!$B$23)</f>
        <v/>
      </c>
      <c r="G40" s="50">
        <f>F40*'1_Inputs'!$B$31</f>
        <v/>
      </c>
      <c r="H40" s="50">
        <f>E40*('1_Inputs'!$B$45*'1_Inputs'!$B$20+'1_Inputs'!$B$46*'1_Inputs'!$B$22+'1_Inputs'!$B$47*'1_Inputs'!$B$24)*'1_Inputs'!$B$48*'1_Inputs'!$B$56+B40*'1_Inputs'!$B$57</f>
        <v/>
      </c>
      <c r="I40" s="50">
        <f>F40*'1_Inputs'!$B$36+E40*'1_Inputs'!$B$37</f>
        <v/>
      </c>
      <c r="J40" s="50">
        <f>F40-G40-H40-I40</f>
        <v/>
      </c>
      <c r="K40" s="50">
        <f>'1_Inputs'!$B$49</f>
        <v/>
      </c>
      <c r="L40" s="51">
        <f>J40-K40</f>
        <v/>
      </c>
      <c r="M40" s="51">
        <f>M39+L40</f>
        <v/>
      </c>
    </row>
    <row r="42" ht="42" customHeight="1">
      <c r="A42" s="39" t="inlineStr">
        <is>
          <t>Read the 'Net profit' and 'Cumulative' columns. If they are negative and getting more negative as the member count grows, the pricing is upside-down — that is the sheet-3 finding showing up over time. Fix the pricing on sheet 4 first; only then is a projection worth arguing about.</t>
        </is>
      </c>
    </row>
  </sheetData>
  <mergeCells count="1">
    <mergeCell ref="A42:M4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showGridLines="0" workbookViewId="0">
      <pane ySplit="4" topLeftCell="A5" activePane="bottomLeft" state="frozen"/>
      <selection pane="bottomLeft" activeCell="A1" sqref="A1"/>
    </sheetView>
  </sheetViews>
  <sheetFormatPr baseColWidth="8" defaultRowHeight="15"/>
  <cols>
    <col width="40" customWidth="1" min="1" max="1"/>
    <col width="18" customWidth="1" min="2" max="2"/>
    <col width="18" customWidth="1" min="3" max="3"/>
    <col width="18" customWidth="1" min="4" max="4"/>
    <col width="50" customWidth="1" min="5" max="5"/>
  </cols>
  <sheetData>
    <row r="1">
      <c r="A1" s="1" t="inlineStr">
        <is>
          <t>SCENARIOS — the three utilisation worlds</t>
        </is>
      </c>
    </row>
    <row r="2">
      <c r="A2" s="2" t="inlineStr">
        <is>
          <t>Utilisation (what share of granted credits members actually burn) is the variable that decides whether this business works. These three columns hold everything else constant and move only that. Change the utilisation cell on sheet 1 to make the rest of the model follow any of these.</t>
        </is>
      </c>
    </row>
    <row r="4">
      <c r="A4" s="4" t="inlineStr">
        <is>
          <t>PLATFORM NET PER PROFESSIONAL MEMBER PER MONTH</t>
        </is>
      </c>
      <c r="B4" s="4" t="n"/>
      <c r="C4" s="4" t="n"/>
      <c r="D4" s="4" t="n"/>
      <c r="E4" s="4" t="n"/>
    </row>
    <row r="5">
      <c r="A5" s="5" t="inlineStr">
        <is>
          <t>Scenario</t>
        </is>
      </c>
      <c r="B5" s="5" t="inlineStr">
        <is>
          <t>Utilisation</t>
        </is>
      </c>
      <c r="C5" s="5" t="inlineStr">
        <is>
          <t>Platform net / member</t>
        </is>
      </c>
      <c r="D5" s="5" t="inlineStr">
        <is>
          <t>Annualised per 100 members</t>
        </is>
      </c>
      <c r="E5" s="5" t="inlineStr">
        <is>
          <t>Reading</t>
        </is>
      </c>
    </row>
    <row r="6" ht="42" customHeight="1">
      <c r="A6" s="44" t="inlineStr">
        <is>
          <t>Light — members barely use their credits</t>
        </is>
      </c>
      <c r="B6" s="52" t="n">
        <v>0.1</v>
      </c>
      <c r="C6" s="34">
        <f>'1_Inputs'!$B$23*(1-'1_Inputs'!$B$31)-('1_Inputs'!$B$23*'1_Inputs'!$B$36+'1_Inputs'!$B$37)-'1_Inputs'!$B$24*B6*'1_Inputs'!$B$56</f>
        <v/>
      </c>
      <c r="D6" s="53">
        <f>C6*100*12</f>
        <v/>
      </c>
      <c r="E6" s="10" t="inlineStr">
        <is>
          <t>Members forget they subscribed. Profitable, but this is churn waiting to happen: nobody renews a product they do not use.</t>
        </is>
      </c>
    </row>
    <row r="7" ht="42" customHeight="1">
      <c r="A7" s="44" t="inlineStr">
        <is>
          <t>Base — moderate engagement</t>
        </is>
      </c>
      <c r="B7" s="52" t="n">
        <v>0.35</v>
      </c>
      <c r="C7" s="34">
        <f>'1_Inputs'!$B$23*(1-'1_Inputs'!$B$31)-('1_Inputs'!$B$23*'1_Inputs'!$B$36+'1_Inputs'!$B$37)-'1_Inputs'!$B$24*B7*'1_Inputs'!$B$56</f>
        <v/>
      </c>
      <c r="D7" s="53">
        <f>C7*100*12</f>
        <v/>
      </c>
      <c r="E7" s="10" t="inlineStr">
        <is>
          <t>The utilisation figure currently on sheet 1. This is the case that has to work.</t>
        </is>
      </c>
    </row>
    <row r="8" ht="42" customHeight="1">
      <c r="A8" s="44" t="inlineStr">
        <is>
          <t>Heavy — engaged members using the product</t>
        </is>
      </c>
      <c r="B8" s="52" t="n">
        <v>0.8</v>
      </c>
      <c r="C8" s="34">
        <f>'1_Inputs'!$B$23*(1-'1_Inputs'!$B$31)-('1_Inputs'!$B$23*'1_Inputs'!$B$36+'1_Inputs'!$B$37)-'1_Inputs'!$B$24*B8*'1_Inputs'!$B$56</f>
        <v/>
      </c>
      <c r="D8" s="53">
        <f>C8*100*12</f>
        <v/>
      </c>
      <c r="E8" s="10" t="inlineStr">
        <is>
          <t>The outcome a marketplace actually wants. Under today's pricing it is the most expensive outcome for us — which is the clearest possible statement that the pricing is inverted.</t>
        </is>
      </c>
    </row>
    <row r="10">
      <c r="A10" s="4" t="inlineStr">
        <is>
          <t>THE SAME THREE SCENARIOS UNDER FIX 1 (creators paid on NET)</t>
        </is>
      </c>
      <c r="B10" s="4" t="n"/>
      <c r="C10" s="4" t="n"/>
      <c r="D10" s="4" t="n"/>
      <c r="E10" s="4" t="n"/>
    </row>
    <row r="11">
      <c r="A11" s="5" t="inlineStr">
        <is>
          <t>Scenario</t>
        </is>
      </c>
      <c r="B11" s="5" t="inlineStr">
        <is>
          <t>Utilisation</t>
        </is>
      </c>
      <c r="C11" s="5" t="inlineStr">
        <is>
          <t>Platform net / member</t>
        </is>
      </c>
      <c r="D11" s="5" t="inlineStr">
        <is>
          <t>Annualised per 100 members</t>
        </is>
      </c>
      <c r="E11" s="5" t="inlineStr">
        <is>
          <t>Reading</t>
        </is>
      </c>
    </row>
    <row r="12">
      <c r="A12" s="44" t="inlineStr">
        <is>
          <t>Light — members barely use their credits</t>
        </is>
      </c>
      <c r="B12" s="52" t="n">
        <v>0.1</v>
      </c>
      <c r="C12" s="54">
        <f>('1_Inputs'!$B$23-'1_Inputs'!$B$24*B12*'1_Inputs'!$B$56-('1_Inputs'!$B$23*'1_Inputs'!$B$36+'1_Inputs'!$B$37))*(1-'1_Inputs'!$B$31)</f>
        <v/>
      </c>
      <c r="D12" s="53">
        <f>C12*100*12</f>
        <v/>
      </c>
      <c r="E12" s="10" t="inlineStr">
        <is>
          <t>Positive in every scenario. Smaller in absolute terms at high usage — but never negative.</t>
        </is>
      </c>
    </row>
    <row r="13">
      <c r="A13" s="44" t="inlineStr">
        <is>
          <t>Base — moderate engagement</t>
        </is>
      </c>
      <c r="B13" s="52" t="n">
        <v>0.35</v>
      </c>
      <c r="C13" s="54">
        <f>('1_Inputs'!$B$23-'1_Inputs'!$B$24*B13*'1_Inputs'!$B$56-('1_Inputs'!$B$23*'1_Inputs'!$B$36+'1_Inputs'!$B$37))*(1-'1_Inputs'!$B$31)</f>
        <v/>
      </c>
      <c r="D13" s="53">
        <f>C13*100*12</f>
        <v/>
      </c>
      <c r="E13" s="10" t="inlineStr">
        <is>
          <t>Positive in every scenario. Smaller in absolute terms at high usage — but never negative.</t>
        </is>
      </c>
    </row>
    <row r="14">
      <c r="A14" s="44" t="inlineStr">
        <is>
          <t>Heavy — engaged members using the product</t>
        </is>
      </c>
      <c r="B14" s="52" t="n">
        <v>0.8</v>
      </c>
      <c r="C14" s="54">
        <f>('1_Inputs'!$B$23-'1_Inputs'!$B$24*B14*'1_Inputs'!$B$56-('1_Inputs'!$B$23*'1_Inputs'!$B$36+'1_Inputs'!$B$37))*(1-'1_Inputs'!$B$31)</f>
        <v/>
      </c>
      <c r="D14" s="53">
        <f>C14*100*12</f>
        <v/>
      </c>
      <c r="E14" s="10" t="inlineStr">
        <is>
          <t>Positive in every scenario. Smaller in absolute terms at high usage — but never negative.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0"/>
  <sheetViews>
    <sheetView showGridLines="0" workbookViewId="0">
      <pane ySplit="4" topLeftCell="A5" activePane="bottomLeft" state="frozen"/>
      <selection pane="bottomLeft" activeCell="A1" sqref="A1"/>
    </sheetView>
  </sheetViews>
  <sheetFormatPr baseColWidth="8" defaultRowHeight="15"/>
  <cols>
    <col width="52" customWidth="1" min="1" max="1"/>
    <col width="20" customWidth="1" min="2" max="2"/>
    <col width="20" customWidth="1" min="3" max="3"/>
    <col width="56" customWidth="1" min="4" max="4"/>
  </cols>
  <sheetData>
    <row r="1">
      <c r="A1" s="1" t="inlineStr">
        <is>
          <t>EXECUTIVE SUMMARY — read this screen only</t>
        </is>
      </c>
    </row>
    <row r="2">
      <c r="A2" s="2" t="inlineStr">
        <is>
          <t>Everything below is calculated from the live code and the assumptions on sheet 1. Nothing here is typed in by hand.</t>
        </is>
      </c>
    </row>
    <row r="4">
      <c r="A4" s="4" t="inlineStr">
        <is>
          <t>THE FOUR NUMBERS THAT MATTER</t>
        </is>
      </c>
      <c r="B4" s="4" t="n"/>
      <c r="C4" s="4" t="n"/>
      <c r="D4" s="4" t="n"/>
    </row>
    <row r="5">
      <c r="A5" s="5" t="inlineStr">
        <is>
          <t>Question</t>
        </is>
      </c>
      <c r="B5" s="5" t="inlineStr">
        <is>
          <t>Answer</t>
        </is>
      </c>
      <c r="C5" s="5" t="inlineStr">
        <is>
          <t>Unit</t>
        </is>
      </c>
      <c r="D5" s="5" t="inlineStr">
        <is>
          <t>What it means</t>
        </is>
      </c>
    </row>
    <row r="6" ht="40" customHeight="1">
      <c r="A6" s="21" t="inlineStr">
        <is>
          <t>What does one hosted-agent call cost us?</t>
        </is>
      </c>
      <c r="B6" s="55">
        <f>'1_Inputs'!$B$55</f>
        <v/>
      </c>
      <c r="C6" s="56" t="inlineStr">
        <is>
          <t>EUR</t>
        </is>
      </c>
      <c r="D6" s="10" t="inlineStr">
        <is>
          <t>LLM tokens plus serverless compute. The whole model rests on this and on the two token assumptions behind it — measure them first.</t>
        </is>
      </c>
    </row>
    <row r="7" ht="40" customHeight="1">
      <c r="A7" s="21" t="inlineStr">
        <is>
          <t>What must one credit sell for, just to break even?</t>
        </is>
      </c>
      <c r="B7" s="55">
        <f>IFERROR('1_Inputs'!$B$56/('1_Inputs'!$B$30-'1_Inputs'!$B$36),0)</f>
        <v/>
      </c>
      <c r="C7" s="56" t="inlineStr">
        <is>
          <t>EUR</t>
        </is>
      </c>
      <c r="D7" s="10" t="inlineStr">
        <is>
          <t>Because we keep only 15% of revenue, Stripe takes 1.5%, and the whole API bill comes out of what is left.</t>
        </is>
      </c>
    </row>
    <row r="8" ht="40" customHeight="1">
      <c r="A8" s="21" t="inlineStr">
        <is>
          <t>What does the Professional tier actually sell a credit for?</t>
        </is>
      </c>
      <c r="B8" s="55">
        <f>'1_Inputs'!$B$23/'1_Inputs'!$B$24</f>
        <v/>
      </c>
      <c r="C8" s="56" t="inlineStr">
        <is>
          <t>EUR</t>
        </is>
      </c>
      <c r="D8" s="10" t="inlineStr">
        <is>
          <t>€99 for 8,000 credits. Compare with the row above.</t>
        </is>
      </c>
    </row>
    <row r="9" ht="40" customHeight="1">
      <c r="A9" s="21" t="inlineStr">
        <is>
          <t>Above what usage does a Professional member lose us money?</t>
        </is>
      </c>
      <c r="B9" s="57">
        <f>IFERROR(('1_Inputs'!$B$23*(1-'1_Inputs'!$B$31)-('1_Inputs'!$B$23*'1_Inputs'!$B$36+'1_Inputs'!$B$37))/('1_Inputs'!$B$24*'1_Inputs'!$B$56),0)</f>
        <v/>
      </c>
      <c r="C9" s="56" t="inlineStr">
        <is>
          <t>% of credits</t>
        </is>
      </c>
      <c r="D9" s="10" t="inlineStr">
        <is>
          <t>Share of their granted credits. Above this line, the better the product performs, the more we lose.</t>
        </is>
      </c>
    </row>
    <row r="11">
      <c r="A11" s="4" t="inlineStr">
        <is>
          <t>THE FINDING</t>
        </is>
      </c>
      <c r="B11" s="4" t="n"/>
      <c r="C11" s="4" t="n"/>
      <c r="D11" s="4" t="n"/>
    </row>
    <row r="12" ht="118" customHeight="1">
      <c r="A12" s="58" t="inlineStr">
        <is>
          <t>Agently currently pays creators 85% of GROSS membership revenue while absorbing 100% of the Anthropic API cost out of the remaining 15%. That makes gross margin a function of how much customers use the product — in the wrong direction. Past a low usage threshold, every additional call costs the platform money, and the most expensive tier crosses that threshold soonest, because it grants the most credits per euro.
This is not a scale problem and it does not improve with volume: it is arithmetic. The fix is on sheet 4, and it is small — pay creators a share of revenue NET of the API cost of serving their agents, rather than gross. The creator's incentive is unchanged (more usage still means more money), and the platform can no longer be bankrupted by its own success.</t>
        </is>
      </c>
    </row>
    <row r="14">
      <c r="A14" s="4" t="inlineStr">
        <is>
          <t>WHAT THIS MODEL IS NOT</t>
        </is>
      </c>
      <c r="B14" s="4" t="n"/>
      <c r="C14" s="4" t="n"/>
      <c r="D14" s="4" t="n"/>
    </row>
    <row r="15" ht="72" customHeight="1">
      <c r="A15" s="39" t="inlineStr">
        <is>
          <t>It is not evidence of a market. As of the live database query on 6.9.2026 the platform has 2 approved agents, 0 external creators, 3 registered users and €2.00 of lifetime revenue. Sheets 1–4 are decision-grade: they run on real code and real published prices, and they are enough to fix the pricing today. Sheets 5–6 are scaffolding built on invented growth assumptions and should not be shown to an investor as a forecast — they become real when there are real cohorts to put in them.</t>
        </is>
      </c>
    </row>
    <row r="17">
      <c r="A17" s="4" t="inlineStr">
        <is>
          <t>NEXT THREE ACTIONS</t>
        </is>
      </c>
      <c r="B17" s="4" t="n"/>
      <c r="C17" s="4" t="n"/>
      <c r="D17" s="4" t="n"/>
    </row>
    <row r="18" ht="30" customHeight="1">
      <c r="A18" s="39" t="inlineStr">
        <is>
          <t>1.  Log the real input and output token counts from the Anthropic response on every hosted call. Two numbers, one commit — they replace the only two load-bearing assumptions in this model.</t>
        </is>
      </c>
    </row>
    <row r="19" ht="30" customHeight="1">
      <c r="A19" s="39" t="inlineStr">
        <is>
          <t>2.  Decide between Fix 1 (pay creators on net) and Fix 2 (reprice credits) on sheet 4. Fix 1 is recommended.</t>
        </is>
      </c>
    </row>
    <row r="20" ht="30" customHeight="1">
      <c r="A20" s="39" t="inlineStr">
        <is>
          <t>3.  Re-run this model with the measured token counts before any pricing goes public or any investor sees a number.</t>
        </is>
      </c>
    </row>
  </sheetData>
  <mergeCells count="5">
    <mergeCell ref="A18:D18"/>
    <mergeCell ref="A12:D12"/>
    <mergeCell ref="A20:D20"/>
    <mergeCell ref="A15:D15"/>
    <mergeCell ref="A19:D1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8"/>
  <sheetViews>
    <sheetView showGridLines="0" workbookViewId="0">
      <pane ySplit="4" topLeftCell="A5" activePane="bottomLeft" state="frozen"/>
      <selection pane="bottomLeft" activeCell="A1" sqref="A1"/>
    </sheetView>
  </sheetViews>
  <sheetFormatPr baseColWidth="8" defaultRowHeight="15"/>
  <cols>
    <col width="34" customWidth="1" min="1" max="1"/>
    <col width="18" customWidth="1" min="2" max="2"/>
    <col width="92" customWidth="1" min="3" max="3"/>
  </cols>
  <sheetData>
    <row r="1">
      <c r="A1" s="1" t="inlineStr">
        <is>
          <t>SOURCES &amp; PROVENANCE</t>
        </is>
      </c>
    </row>
    <row r="2">
      <c r="A2" s="2" t="inlineStr">
        <is>
          <t>House rule: never fabricate. Every input in this model is listed here with where it came from. Anything marked ASSUMPTION is a placeholder and is flagged as such wherever it appears.</t>
        </is>
      </c>
    </row>
    <row r="4">
      <c r="A4" s="5" t="inlineStr">
        <is>
          <t>Input</t>
        </is>
      </c>
      <c r="B4" s="5" t="inlineStr">
        <is>
          <t>Status</t>
        </is>
      </c>
      <c r="C4" s="5" t="inlineStr">
        <is>
          <t>Source</t>
        </is>
      </c>
    </row>
    <row r="5">
      <c r="A5" s="59" t="inlineStr">
        <is>
          <t>LLM the invoke route calls</t>
        </is>
      </c>
      <c r="B5" s="60" t="inlineStr">
        <is>
          <t>MEASURED</t>
        </is>
      </c>
      <c r="C5" s="10" t="inlineStr">
        <is>
          <t>app/api/hosted-agents/[slug]/invoke/route.ts:258 — read from the live code, not assumed.</t>
        </is>
      </c>
    </row>
    <row r="6">
      <c r="A6" s="59" t="inlineStr">
        <is>
          <t>Input price per 1M tokens (USD)</t>
        </is>
      </c>
      <c r="B6" s="61" t="inlineStr">
        <is>
          <t>SOURCED</t>
        </is>
      </c>
      <c r="C6" s="10" t="inlineStr">
        <is>
          <t>Anthropic published API pricing for claude-sonnet-5. Verify at anthropic.com/pricing before investor use.</t>
        </is>
      </c>
    </row>
    <row r="7">
      <c r="A7" s="59" t="inlineStr">
        <is>
          <t>Output price per 1M tokens (USD)</t>
        </is>
      </c>
      <c r="B7" s="61" t="inlineStr">
        <is>
          <t>SOURCED</t>
        </is>
      </c>
      <c r="C7" s="10" t="inlineStr">
        <is>
          <t>Anthropic published API pricing for claude-sonnet-5. Verify at anthropic.com/pricing before investor use.</t>
        </is>
      </c>
    </row>
    <row r="8">
      <c r="A8" s="59" t="inlineStr">
        <is>
          <t>USD → EUR conversion rate</t>
        </is>
      </c>
      <c r="B8" s="62" t="inlineStr">
        <is>
          <t>ASSUMPTION</t>
        </is>
      </c>
      <c r="C8" s="10" t="inlineStr">
        <is>
          <t>Placeholder. Replace with the rate your Stripe/bank actually settles at.</t>
        </is>
      </c>
    </row>
    <row r="9">
      <c r="A9" s="59" t="inlineStr">
        <is>
          <t>max_tokens cap per call</t>
        </is>
      </c>
      <c r="B9" s="60" t="inlineStr">
        <is>
          <t>MEASURED</t>
        </is>
      </c>
      <c r="C9" s="10" t="inlineStr">
        <is>
          <t>app/api/hosted-agents/[slug]/invoke/route.ts:259 — hard ceiling on output per call.</t>
        </is>
      </c>
    </row>
    <row r="10">
      <c r="A10" s="59" t="inlineStr">
        <is>
          <t>Average INPUT tokens per call</t>
        </is>
      </c>
      <c r="B10" s="62" t="inlineStr">
        <is>
          <t>ASSUMPTION</t>
        </is>
      </c>
      <c r="C10" s="10" t="inlineStr">
        <is>
          <t>Hidden agent system prompt + user input. NOT measured — log real token counts from the Anthropic response usage object and replace this. This is the single most important number in the model.</t>
        </is>
      </c>
    </row>
    <row r="11">
      <c r="A11" s="59" t="inlineStr">
        <is>
          <t>Average OUTPUT tokens per call</t>
        </is>
      </c>
      <c r="B11" s="62" t="inlineStr">
        <is>
          <t>ASSUMPTION</t>
        </is>
      </c>
      <c r="C11" s="10" t="inlineStr">
        <is>
          <t>Assumed well below the 2048 cap. NOT measured — same fix as above: log response.usage.output_tokens.</t>
        </is>
      </c>
    </row>
    <row r="12">
      <c r="A12" s="59" t="inlineStr">
        <is>
          <t>Non-LLM infra cost per call (Vercel, Supabase)</t>
        </is>
      </c>
      <c r="B12" s="62" t="inlineStr">
        <is>
          <t>ASSUMPTION</t>
        </is>
      </c>
      <c r="C12" s="10" t="inlineStr">
        <is>
          <t>Serverless function + DB writes per invocation. Small but non-zero. Replace with real Vercel/Supabase billing divided by call count once there is volume.</t>
        </is>
      </c>
    </row>
    <row r="13">
      <c r="A13" s="59" t="inlineStr">
        <is>
          <t>Basic tier — monthly price</t>
        </is>
      </c>
      <c r="B13" s="60" t="inlineStr">
        <is>
          <t>MEASURED</t>
        </is>
      </c>
      <c r="C13" s="10" t="inlineStr">
        <is>
          <t>lib/membership.ts MEMBERSHIP_TIERS.basic.monthlyPriceCents = 900. Code comment calls it a placeholder.</t>
        </is>
      </c>
    </row>
    <row r="14">
      <c r="A14" s="59" t="inlineStr">
        <is>
          <t>Basic tier — monthly credits granted</t>
        </is>
      </c>
      <c r="B14" s="60" t="inlineStr">
        <is>
          <t>MEASURED</t>
        </is>
      </c>
      <c r="C14" s="10" t="inlineStr">
        <is>
          <t>lib/membership.ts. Code comment: 'Round, clearly-arbitrary numbers... not measured against any real per-call cost.' This model exists to fix exactly that.</t>
        </is>
      </c>
    </row>
    <row r="15">
      <c r="A15" s="59" t="inlineStr">
        <is>
          <t>Pro tier — monthly price</t>
        </is>
      </c>
      <c r="B15" s="60" t="inlineStr">
        <is>
          <t>MEASURED</t>
        </is>
      </c>
      <c r="C15" s="10" t="inlineStr">
        <is>
          <t>lib/membership.ts monthlyPriceCents = 2900.</t>
        </is>
      </c>
    </row>
    <row r="16">
      <c r="A16" s="59" t="inlineStr">
        <is>
          <t>Pro tier — monthly credits granted</t>
        </is>
      </c>
      <c r="B16" s="60" t="inlineStr">
        <is>
          <t>MEASURED</t>
        </is>
      </c>
      <c r="C16" s="10" t="inlineStr">
        <is>
          <t>lib/membership.ts.</t>
        </is>
      </c>
    </row>
    <row r="17">
      <c r="A17" s="59" t="inlineStr">
        <is>
          <t>Professional tier — monthly price</t>
        </is>
      </c>
      <c r="B17" s="60" t="inlineStr">
        <is>
          <t>MEASURED</t>
        </is>
      </c>
      <c r="C17" s="10" t="inlineStr">
        <is>
          <t>lib/membership.ts monthlyPriceCents = 9900.</t>
        </is>
      </c>
    </row>
    <row r="18">
      <c r="A18" s="59" t="inlineStr">
        <is>
          <t>Professional tier — monthly credits granted</t>
        </is>
      </c>
      <c r="B18" s="60" t="inlineStr">
        <is>
          <t>MEASURED</t>
        </is>
      </c>
      <c r="C18" s="10" t="inlineStr">
        <is>
          <t>lib/membership.ts.</t>
        </is>
      </c>
    </row>
    <row r="19">
      <c r="A19" s="59" t="inlineStr">
        <is>
          <t>Credits charged per call (creator-set)</t>
        </is>
      </c>
      <c r="B19" s="62" t="inlineStr">
        <is>
          <t>ASSUMPTION</t>
        </is>
      </c>
      <c r="C19" s="10" t="inlineStr">
        <is>
          <t>Each creator sets credits_per_call on their agent, capped at 50 (lib/hosted-agents.ts MAX_CREDITS_PER_CALL). 1 = the cheapest case, i.e. the worst case for us. Change to test other settings.</t>
        </is>
      </c>
    </row>
    <row r="20">
      <c r="A20" s="59" t="inlineStr">
        <is>
          <t>Free credits granted at signup (one-time)</t>
        </is>
      </c>
      <c r="B20" s="60" t="inlineStr">
        <is>
          <t>MEASURED</t>
        </is>
      </c>
      <c r="C20" s="10" t="inlineStr">
        <is>
          <t>One-time non-renewing grant. Pure marketing cost — no revenue behind it.</t>
        </is>
      </c>
    </row>
    <row r="21">
      <c r="A21" s="59" t="inlineStr">
        <is>
          <t>Platform fee — share WE keep</t>
        </is>
      </c>
      <c r="B21" s="60" t="inlineStr">
        <is>
          <t>MEASURED</t>
        </is>
      </c>
      <c r="C21" s="10" t="inlineStr">
        <is>
          <t>lib/membership.ts PLATFORM_FEE_PERCENT = 15. Report ch.6: 'start low (10-15%), raise once there's liquidity.'</t>
        </is>
      </c>
    </row>
    <row r="22">
      <c r="A22" s="59" t="inlineStr">
        <is>
          <t>Creator share — share THEY get</t>
        </is>
      </c>
      <c r="B22" s="60" t="inlineStr">
        <is>
          <t>MEASURED</t>
        </is>
      </c>
      <c r="C22" s="10">
        <f> 1 − platform fee. lib/creator-payouts.ts pools 85% of membership revenue and splits it by usage share.</f>
        <v/>
      </c>
    </row>
    <row r="23">
      <c r="A23" s="59" t="inlineStr">
        <is>
          <t>Creator payout is calculated on…</t>
        </is>
      </c>
      <c r="B23" s="60" t="inlineStr">
        <is>
          <t>MEASURED</t>
        </is>
      </c>
      <c r="C23" s="10" t="inlineStr">
        <is>
          <t>lib/creator-payouts.ts: poolCents = totalRevenueCents × 85%. API cost is NOT deducted first. See sheet 4 — this is the structural problem.</t>
        </is>
      </c>
    </row>
    <row r="24">
      <c r="A24" s="59" t="inlineStr">
        <is>
          <t>Stripe percentage fee (EU cards)</t>
        </is>
      </c>
      <c r="B24" s="61" t="inlineStr">
        <is>
          <t>SOURCED</t>
        </is>
      </c>
      <c r="C24" s="10" t="inlineStr">
        <is>
          <t>Stripe published EU standard rate ~1.5%. Verify against your own Stripe dashboard.</t>
        </is>
      </c>
    </row>
    <row r="25">
      <c r="A25" s="59" t="inlineStr">
        <is>
          <t>Stripe fixed fee per charge</t>
        </is>
      </c>
      <c r="B25" s="60" t="inlineStr">
        <is>
          <t>MEASURED</t>
        </is>
      </c>
      <c r="C25" s="10" t="inlineStr">
        <is>
          <t>lib/membership.ts comment: measured at ~€0.25-0.30 by running a live €1 test purchase and reading the resulting Stripe balance transactions — platform ended at -€0.13 net on it.</t>
        </is>
      </c>
    </row>
    <row r="26">
      <c r="A26" s="59" t="inlineStr">
        <is>
          <t>Paying members at month 0</t>
        </is>
      </c>
      <c r="B26" s="60" t="inlineStr">
        <is>
          <t>MEASURED</t>
        </is>
      </c>
      <c r="C26" s="10" t="inlineStr">
        <is>
          <t>Live Supabase query 6.9.2026 — and both are David's own test accounts, not external customers.</t>
        </is>
      </c>
    </row>
    <row r="27">
      <c r="A27" s="59" t="inlineStr">
        <is>
          <t>New free signups per month</t>
        </is>
      </c>
      <c r="B27" s="62" t="inlineStr">
        <is>
          <t>ASSUMPTION</t>
        </is>
      </c>
      <c r="C27" s="10" t="inlineStr">
        <is>
          <t>No basis in real data. There are 3 registered users total today. Placeholder to make the sheet compute.</t>
        </is>
      </c>
    </row>
    <row r="28">
      <c r="A28" s="59" t="inlineStr">
        <is>
          <t>Free → paid conversion rate</t>
        </is>
      </c>
      <c r="B28" s="62" t="inlineStr">
        <is>
          <t>ASSUMPTION</t>
        </is>
      </c>
      <c r="C28" s="10" t="inlineStr">
        <is>
          <t>Typical prosumer SaaS freemium conversion is low single digits. Not measured for this product.</t>
        </is>
      </c>
    </row>
    <row r="29">
      <c r="A29" s="59" t="inlineStr">
        <is>
          <t>Monthly churn of paying members</t>
        </is>
      </c>
      <c r="B29" s="62" t="inlineStr">
        <is>
          <t>ASSUMPTION</t>
        </is>
      </c>
      <c r="C29" s="10" t="inlineStr">
        <is>
          <t>Placeholder in the normal SMB/prosumer range. Not measured — there is no cohort history yet.</t>
        </is>
      </c>
    </row>
    <row r="30">
      <c r="A30" s="59" t="inlineStr">
        <is>
          <t>Tier mix — Basic</t>
        </is>
      </c>
      <c r="B30" s="62" t="inlineStr">
        <is>
          <t>ASSUMPTION</t>
        </is>
      </c>
      <c r="C30" s="10" t="inlineStr">
        <is>
          <t>Placeholder. No real mix data exists.</t>
        </is>
      </c>
    </row>
    <row r="31">
      <c r="A31" s="59" t="inlineStr">
        <is>
          <t>Tier mix — Pro</t>
        </is>
      </c>
      <c r="B31" s="62" t="inlineStr">
        <is>
          <t>ASSUMPTION</t>
        </is>
      </c>
      <c r="C31" s="10" t="inlineStr">
        <is>
          <t>Placeholder.</t>
        </is>
      </c>
    </row>
    <row r="32">
      <c r="A32" s="59" t="inlineStr">
        <is>
          <t>Tier mix — Professional</t>
        </is>
      </c>
      <c r="B32" s="62" t="inlineStr">
        <is>
          <t>ASSUMPTION</t>
        </is>
      </c>
      <c r="C32" s="10" t="inlineStr">
        <is>
          <t>Placeholder.</t>
        </is>
      </c>
    </row>
    <row r="33">
      <c r="A33" s="59" t="inlineStr">
        <is>
          <t>Credit utilisation — % of granted credits actually used</t>
        </is>
      </c>
      <c r="B33" s="62" t="inlineStr">
        <is>
          <t>ASSUMPTION</t>
        </is>
      </c>
      <c r="C33" s="10" t="inlineStr">
        <is>
          <t>THE swing variable. At low utilisation the model works; above the break-even on sheet 3 every member loses money. Must be measured from agently_agent_invocations as soon as there is real usage.</t>
        </is>
      </c>
    </row>
    <row r="34">
      <c r="A34" s="59" t="inlineStr">
        <is>
          <t>Fixed monthly operating cost</t>
        </is>
      </c>
      <c r="B34" s="62" t="inlineStr">
        <is>
          <t>ASSUMPTION</t>
        </is>
      </c>
      <c r="C34" s="10" t="inlineStr">
        <is>
          <t>Vercel + Supabase + domain + email. Excludes any salary for David.</t>
        </is>
      </c>
    </row>
    <row r="36">
      <c r="A36" s="63" t="inlineStr">
        <is>
          <t>EXTERNAL PRECEDENT — what other platforms actually do (researched 10.9.2026, sources below)</t>
        </is>
      </c>
    </row>
    <row r="37" ht="62" customHeight="1">
      <c r="A37" s="44" t="inlineStr">
        <is>
          <t>Poe (Quora)</t>
        </is>
      </c>
      <c r="B37" s="61" t="inlineStr">
        <is>
          <t>SOURCED</t>
        </is>
      </c>
      <c r="C37" s="10" t="inlineStr">
        <is>
          <t>The closest structural analogue to our hosted model — and it deliberately ABANDONED the usage-pool split. Creators now set a price per message themselves, up to $10,000 per 1,000 messages, precisely because a pool does not cover an expensive bot's inference cost. That is the same failure this model found, reached independently by a company that raised $75M from a16z to run it.  [TechCrunch 9.4.2024 techcrunch.com/2024/04/09/poe-introduces-a-price-per-message-revenue-model-for-ai-bot-creators/ · poe.com/blog/new-on-poe-creator-monetization-via-price-per-message · a16z round: TechCrunch 9.1.2024]</t>
        </is>
      </c>
    </row>
    <row r="38" ht="62" customHeight="1">
      <c r="A38" s="44" t="inlineStr">
        <is>
          <t>OpenAI GPT Store</t>
        </is>
      </c>
      <c r="B38" s="61" t="inlineStr">
        <is>
          <t>SOURCED</t>
        </is>
      </c>
      <c r="C38" s="10" t="inlineStr">
        <is>
          <t>Our payout design was described as 'the same model the GPT Store pays creators under'. That claim does not hold up: revenue sharing was announced Jan 2024, never opened beyond an invite-only US pilot, the formula was never published, and GPTs have since been superseded by the Apps SDK — whose documented monetization route is external checkout on the developer's own site. CORRECT THIS CLAIM wherever it appears.  [VentureBeat 1.2024 · OpenAI dev community thread 839172 · developers.openai.com/apps-sdk/build/monetization]</t>
        </is>
      </c>
    </row>
    <row r="39" ht="62" customHeight="1">
      <c r="A39" s="44" t="inlineStr">
        <is>
          <t>Take rates, observed range</t>
        </is>
      </c>
      <c r="B39" s="61" t="inlineStr">
        <is>
          <t>SOURCED</t>
        </is>
      </c>
      <c r="C39" s="10" t="inlineStr">
        <is>
          <t>Apple 30% (15% under $1M) · Google Play 15% on subs · Unity Asset Store 30% · Shopify 0% on first $1M · Patreon 10% · Substack 10% · YouTube 45% of ad revenue. Our 15% is defensible and creator-friendly, but it is NOT 'standard' — the modal digital-goods rate is 30%. Reframe the claim.  [Apple SBP via RevenueCat · assetstore.unity.com/publishing · TechCrunch 29.6.2021 (Shopify) · support.google.com/youtube/answer/72902]</t>
        </is>
      </c>
    </row>
    <row r="40" ht="62" customHeight="1">
      <c r="A40" s="44" t="inlineStr">
        <is>
          <t>Monthly payout cadence</t>
        </is>
      </c>
      <c r="B40" s="61" t="inlineStr">
        <is>
          <t>SOURCED</t>
        </is>
      </c>
      <c r="C40" s="10" t="inlineStr">
        <is>
          <t>This half of our claim does hold — Patreon, Substack and YouTube all pay monthly. Note that every mature system also has a minimum payout threshold and a lag (Roblox 30,000 Robux, YouTube $100). Ours has neither yet; investors will ask.  [support.google.com/youtube/answer/72902 · create.roblox.com/docs/production/monetization/developer-exchange]</t>
        </is>
      </c>
    </row>
    <row r="41" ht="62" customHeight="1">
      <c r="A41" s="44" t="inlineStr">
        <is>
          <t>Disintermediation risk</t>
        </is>
      </c>
      <c r="B41" s="61" t="inlineStr">
        <is>
          <t>SOURCED</t>
        </is>
      </c>
      <c r="C41" s="10" t="inlineStr">
        <is>
          <t>Peer-reviewed result: as a platform improves trust between its two sides, it increases the risk they transact off-platform to avoid the fee. Directly relevant to file agents, which have zero ongoing platform dependency once downloaded. The hosted product is the only half with a real anti-leakage mechanism.  [Hagiu &amp; Wright, 'Marketplace Leakage', Management Science — doi 10.1287/mnsc.2023.4757]</t>
        </is>
      </c>
    </row>
    <row r="43">
      <c r="A43" s="64" t="inlineStr">
        <is>
          <t>NOT CONFIRMED — do not present as fact</t>
        </is>
      </c>
    </row>
    <row r="44">
      <c r="A44" s="39" t="inlineStr">
        <is>
          <t>Real input/output token counts per hosted call — never measured. The two most important numbers in the model.</t>
        </is>
      </c>
    </row>
    <row r="45">
      <c r="A45" s="39" t="inlineStr">
        <is>
          <t>Real credit utilisation — never measured; there is no meaningful usage history.</t>
        </is>
      </c>
    </row>
    <row r="46">
      <c r="A46" s="39" t="inlineStr">
        <is>
          <t>Stripe's exact effective rate on this account — the €0.25 fixed fee is measured, the 1.5% is the published rate.</t>
        </is>
      </c>
    </row>
    <row r="47">
      <c r="A47" s="39" t="inlineStr">
        <is>
          <t>USD/EUR rate actually realised after bank spread.</t>
        </is>
      </c>
    </row>
    <row r="48">
      <c r="A48" s="39" t="inlineStr">
        <is>
          <t>Every growth input on sheet 5 (signups, conversion, churn, tier mix) — invented placeholders.</t>
        </is>
      </c>
    </row>
  </sheetData>
  <mergeCells count="5">
    <mergeCell ref="A44:C44"/>
    <mergeCell ref="A47:C47"/>
    <mergeCell ref="A45:C45"/>
    <mergeCell ref="A46:C46"/>
    <mergeCell ref="A48:C4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2026-09-10T20:25:56Z</dcterms:created>
  <dcterms:modified xsi:type="dcterms:W3CDTF">2026-09-10T20:25:56Z</dcterms:modified>
</cp:coreProperties>
</file>